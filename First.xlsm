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510" codeName="{7A2D7E96-6E34-419A-AE5F-296B3A7E7977}"/>
  <workbookPr codeName="ThisWorkbook"/>
  <mc:AlternateContent xmlns:mc="http://schemas.openxmlformats.org/markup-compatibility/2006">
    <mc:Choice Requires="x15">
      <x15ac:absPath xmlns:x15ac="http://schemas.microsoft.com/office/spreadsheetml/2010/11/ac" url="/Users/abrahamduarte/Downloads/"/>
    </mc:Choice>
  </mc:AlternateContent>
  <bookViews>
    <workbookView xWindow="0" yWindow="460" windowWidth="25600" windowHeight="14700"/>
  </bookViews>
  <sheets>
    <sheet name="PLANFIRST" sheetId="2" r:id="rId1"/>
    <sheet name="PLANES" sheetId="3" r:id="rId2"/>
    <sheet name="TIEMPOS" sheetId="1" r:id="rId3"/>
    <sheet name="MARCAS" sheetId="6" r:id="rId4"/>
  </sheet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 uri="{140A7094-0E35-4892-8432-C4D2E57EDEB5}">
      <x15:workbookPr chartTrackingRefBase="1"/>
    </ext>
  </extLst>
</workbook>
</file>

<file path=xl/calcChain.xml><?xml version="1.0" encoding="utf-8"?>
<calcChain xmlns="http://schemas.openxmlformats.org/spreadsheetml/2006/main">
  <c r="L155" i="2" l="1"/>
  <c r="G151" i="2"/>
  <c r="J150" i="2"/>
  <c r="J151" i="2"/>
  <c r="J152" i="2"/>
  <c r="J153" i="2"/>
  <c r="J154" i="2"/>
  <c r="J155" i="2"/>
  <c r="L154" i="2"/>
  <c r="L153" i="2"/>
  <c r="L152" i="2"/>
  <c r="S151" i="2"/>
  <c r="Q151" i="2"/>
  <c r="L151" i="2"/>
  <c r="L150" i="2"/>
  <c r="W45" i="2"/>
  <c r="C56" i="2"/>
  <c r="C64" i="2"/>
  <c r="C72" i="2"/>
  <c r="C83" i="2"/>
  <c r="C91" i="2"/>
  <c r="C100" i="2"/>
  <c r="C113" i="2"/>
  <c r="C123" i="2"/>
  <c r="C131" i="2"/>
  <c r="C139" i="2"/>
  <c r="C147" i="2"/>
  <c r="W147" i="2"/>
  <c r="P45" i="2"/>
  <c r="P147" i="2"/>
  <c r="E45" i="2"/>
  <c r="E147" i="2"/>
  <c r="L146" i="2"/>
  <c r="L145" i="2"/>
  <c r="L144" i="2"/>
  <c r="G143" i="2"/>
  <c r="J144" i="2"/>
  <c r="Z143" i="2"/>
  <c r="X143" i="2"/>
  <c r="S143" i="2"/>
  <c r="Q143" i="2"/>
  <c r="L143" i="2"/>
  <c r="J143" i="2"/>
  <c r="L142" i="2"/>
  <c r="J142" i="2"/>
  <c r="W139" i="2"/>
  <c r="P139" i="2"/>
  <c r="E139" i="2"/>
  <c r="L138" i="2"/>
  <c r="G135" i="2"/>
  <c r="J134" i="2"/>
  <c r="J135" i="2"/>
  <c r="J136" i="2"/>
  <c r="J137" i="2"/>
  <c r="J138" i="2"/>
  <c r="L137" i="2"/>
  <c r="L136" i="2"/>
  <c r="Z135" i="2"/>
  <c r="X135" i="2"/>
  <c r="S135" i="2"/>
  <c r="Q135" i="2"/>
  <c r="L135" i="2"/>
  <c r="L134" i="2"/>
  <c r="W131" i="2"/>
  <c r="P131" i="2"/>
  <c r="E131" i="2"/>
  <c r="L130" i="2"/>
  <c r="L129" i="2"/>
  <c r="G127" i="2"/>
  <c r="J129" i="2"/>
  <c r="L128" i="2"/>
  <c r="J128" i="2"/>
  <c r="Z127" i="2"/>
  <c r="X127" i="2"/>
  <c r="S127" i="2"/>
  <c r="Q127" i="2"/>
  <c r="L127" i="2"/>
  <c r="J127" i="2"/>
  <c r="L126" i="2"/>
  <c r="J126" i="2"/>
  <c r="W123" i="2"/>
  <c r="P123" i="2"/>
  <c r="E123" i="2"/>
  <c r="S121" i="2"/>
  <c r="Q119" i="2"/>
  <c r="Q121" i="2"/>
  <c r="G117" i="2"/>
  <c r="J116" i="2"/>
  <c r="J117" i="2"/>
  <c r="J118" i="2"/>
  <c r="J121" i="2"/>
  <c r="S120" i="2"/>
  <c r="Q120" i="2"/>
  <c r="L120" i="2"/>
  <c r="J119" i="2"/>
  <c r="J120" i="2"/>
  <c r="S119" i="2"/>
  <c r="L119" i="2"/>
  <c r="S118" i="2"/>
  <c r="Q118" i="2"/>
  <c r="L118" i="2"/>
  <c r="Z117" i="2"/>
  <c r="X117" i="2"/>
  <c r="S117" i="2"/>
  <c r="Q117" i="2"/>
  <c r="L117" i="2"/>
  <c r="L116" i="2"/>
  <c r="W113" i="2"/>
  <c r="P113" i="2"/>
  <c r="E113" i="2"/>
  <c r="L112" i="2"/>
  <c r="G104" i="2"/>
  <c r="J103" i="2"/>
  <c r="J104" i="2"/>
  <c r="J105" i="2"/>
  <c r="J106" i="2"/>
  <c r="J107" i="2"/>
  <c r="J108" i="2"/>
  <c r="J109" i="2"/>
  <c r="J110" i="2"/>
  <c r="J111" i="2"/>
  <c r="J112" i="2"/>
  <c r="L111" i="2"/>
  <c r="L110" i="2"/>
  <c r="L109" i="2"/>
  <c r="L108" i="2"/>
  <c r="L107" i="2"/>
  <c r="L106" i="2"/>
  <c r="L105" i="2"/>
  <c r="Z104" i="2"/>
  <c r="X104" i="2"/>
  <c r="S104" i="2"/>
  <c r="Q104" i="2"/>
  <c r="L104" i="2"/>
  <c r="L103" i="2"/>
  <c r="W100" i="2"/>
  <c r="P100" i="2"/>
  <c r="E100" i="2"/>
  <c r="L99" i="2"/>
  <c r="L98" i="2"/>
  <c r="G98" i="2"/>
  <c r="L97" i="2"/>
  <c r="J97" i="2"/>
  <c r="G97" i="2"/>
  <c r="L96" i="2"/>
  <c r="J96" i="2"/>
  <c r="G96" i="2"/>
  <c r="Z95" i="2"/>
  <c r="X95" i="2"/>
  <c r="S95" i="2"/>
  <c r="Q95" i="2"/>
  <c r="L95" i="2"/>
  <c r="J95" i="2"/>
  <c r="G95" i="2"/>
  <c r="L94" i="2"/>
  <c r="J94" i="2"/>
  <c r="W91" i="2"/>
  <c r="P91" i="2"/>
  <c r="E91" i="2"/>
  <c r="L90" i="2"/>
  <c r="L89" i="2"/>
  <c r="G87" i="2"/>
  <c r="J89" i="2"/>
  <c r="L88" i="2"/>
  <c r="J88" i="2"/>
  <c r="Z87" i="2"/>
  <c r="X87" i="2"/>
  <c r="S87" i="2"/>
  <c r="Q87" i="2"/>
  <c r="L87" i="2"/>
  <c r="J87" i="2"/>
  <c r="L86" i="2"/>
  <c r="J86" i="2"/>
  <c r="W83" i="2"/>
  <c r="P83" i="2"/>
  <c r="E83" i="2"/>
  <c r="L82" i="2"/>
  <c r="L81" i="2"/>
  <c r="G76" i="2"/>
  <c r="G81" i="2"/>
  <c r="S80" i="2"/>
  <c r="Q76" i="2"/>
  <c r="Q78" i="2"/>
  <c r="Q80" i="2"/>
  <c r="L80" i="2"/>
  <c r="J80" i="2"/>
  <c r="G77" i="2"/>
  <c r="G80" i="2"/>
  <c r="S79" i="2"/>
  <c r="Q79" i="2"/>
  <c r="L79" i="2"/>
  <c r="J79" i="2"/>
  <c r="G78" i="2"/>
  <c r="G79" i="2"/>
  <c r="S78" i="2"/>
  <c r="L78" i="2"/>
  <c r="J78" i="2"/>
  <c r="S77" i="2"/>
  <c r="Q77" i="2"/>
  <c r="L77" i="2"/>
  <c r="J77" i="2"/>
  <c r="Z76" i="2"/>
  <c r="X76" i="2"/>
  <c r="S76" i="2"/>
  <c r="L76" i="2"/>
  <c r="J76" i="2"/>
  <c r="L75" i="2"/>
  <c r="J75" i="2"/>
  <c r="W72" i="2"/>
  <c r="P72" i="2"/>
  <c r="E72" i="2"/>
  <c r="L71" i="2"/>
  <c r="L70" i="2"/>
  <c r="L69" i="2"/>
  <c r="G69" i="2"/>
  <c r="J69" i="2"/>
  <c r="Z68" i="2"/>
  <c r="X68" i="2"/>
  <c r="S68" i="2"/>
  <c r="Q68" i="2"/>
  <c r="L68" i="2"/>
  <c r="G68" i="2"/>
  <c r="J68" i="2"/>
  <c r="L67" i="2"/>
  <c r="J67" i="2"/>
  <c r="W64" i="2"/>
  <c r="P64" i="2"/>
  <c r="E64" i="2"/>
  <c r="L63" i="2"/>
  <c r="G60" i="2"/>
  <c r="J59" i="2"/>
  <c r="J60" i="2"/>
  <c r="J61" i="2"/>
  <c r="J62" i="2"/>
  <c r="J63" i="2"/>
  <c r="S62" i="2"/>
  <c r="Q60" i="2"/>
  <c r="Q62" i="2"/>
  <c r="L62" i="2"/>
  <c r="S61" i="2"/>
  <c r="Q61" i="2"/>
  <c r="L61" i="2"/>
  <c r="Z60" i="2"/>
  <c r="X60" i="2"/>
  <c r="S60" i="2"/>
  <c r="L60" i="2"/>
  <c r="L59" i="2"/>
  <c r="W56" i="2"/>
  <c r="P56" i="2"/>
  <c r="E56" i="2"/>
  <c r="L55" i="2"/>
  <c r="G49" i="2"/>
  <c r="J48" i="2"/>
  <c r="J49" i="2"/>
  <c r="J50" i="2"/>
  <c r="J51" i="2"/>
  <c r="J52" i="2"/>
  <c r="J53" i="2"/>
  <c r="J54" i="2"/>
  <c r="J55" i="2"/>
  <c r="L54" i="2"/>
  <c r="L53" i="2"/>
  <c r="L52" i="2"/>
  <c r="L51" i="2"/>
  <c r="L50" i="2"/>
  <c r="Z49" i="2"/>
  <c r="X49" i="2"/>
  <c r="S49" i="2"/>
  <c r="Q49" i="2"/>
  <c r="L49" i="2"/>
  <c r="L48" i="2"/>
  <c r="K13" i="2"/>
  <c r="L13" i="2"/>
  <c r="A150"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B48" i="1"/>
  <c r="B151" i="1"/>
  <c r="B3" i="3"/>
  <c r="B4" i="3"/>
  <c r="G604" i="3"/>
  <c r="F604" i="3"/>
  <c r="G441" i="3"/>
  <c r="F441" i="3"/>
  <c r="G269" i="3"/>
  <c r="F269" i="3"/>
  <c r="G143" i="3"/>
  <c r="F143" i="3"/>
  <c r="F151" i="3"/>
  <c r="I150" i="3"/>
  <c r="I151" i="3"/>
  <c r="I152" i="3"/>
  <c r="I153" i="3"/>
  <c r="C150" i="1"/>
  <c r="D150" i="1"/>
  <c r="E150" i="1"/>
  <c r="F150" i="1"/>
  <c r="G150" i="1"/>
  <c r="H150" i="1"/>
  <c r="H48" i="1"/>
  <c r="H151" i="1"/>
  <c r="N3" i="3"/>
  <c r="N4" i="3"/>
  <c r="M145" i="3"/>
  <c r="G48" i="1"/>
  <c r="G151" i="1"/>
  <c r="L3" i="3"/>
  <c r="L4" i="3"/>
  <c r="M144" i="3"/>
  <c r="F48" i="1"/>
  <c r="F151" i="1"/>
  <c r="J3" i="3"/>
  <c r="J4" i="3"/>
  <c r="M143" i="3"/>
  <c r="E48" i="1"/>
  <c r="E151" i="1"/>
  <c r="H3" i="3"/>
  <c r="H4" i="3"/>
  <c r="G146" i="3"/>
  <c r="F146" i="3"/>
  <c r="D48" i="1"/>
  <c r="D151" i="1"/>
  <c r="F3" i="3"/>
  <c r="F4" i="3"/>
  <c r="G145" i="3"/>
  <c r="F145" i="3"/>
  <c r="C48" i="1"/>
  <c r="C151" i="1"/>
  <c r="D3" i="3"/>
  <c r="D4" i="3"/>
  <c r="G144" i="3"/>
  <c r="F144" i="3"/>
  <c r="M606" i="3"/>
  <c r="M605" i="3"/>
  <c r="M604" i="3"/>
  <c r="G607" i="3"/>
  <c r="G606" i="3"/>
  <c r="G605" i="3"/>
  <c r="M443" i="3"/>
  <c r="M442" i="3"/>
  <c r="M441" i="3"/>
  <c r="G444" i="3"/>
  <c r="G443" i="3"/>
  <c r="G442" i="3"/>
  <c r="G272" i="3"/>
  <c r="G271" i="3"/>
  <c r="G270" i="3"/>
  <c r="M271" i="3"/>
  <c r="M270" i="3"/>
  <c r="M269" i="3"/>
  <c r="M17" i="3"/>
  <c r="M16" i="3"/>
  <c r="M15" i="3"/>
  <c r="G18" i="3"/>
  <c r="D143" i="3"/>
  <c r="J143" i="3"/>
  <c r="L143" i="3"/>
  <c r="D144" i="3"/>
  <c r="J144" i="3"/>
  <c r="L144" i="3"/>
  <c r="D145" i="3"/>
  <c r="J145" i="3"/>
  <c r="L145" i="3"/>
  <c r="D146" i="3"/>
  <c r="D269" i="3"/>
  <c r="J269" i="3"/>
  <c r="L269" i="3"/>
  <c r="D270" i="3"/>
  <c r="F270" i="3"/>
  <c r="J270" i="3"/>
  <c r="L270" i="3"/>
  <c r="D271" i="3"/>
  <c r="F271" i="3"/>
  <c r="J271" i="3"/>
  <c r="L271" i="3"/>
  <c r="D272" i="3"/>
  <c r="F272" i="3"/>
  <c r="D441" i="3"/>
  <c r="J441" i="3"/>
  <c r="L441" i="3"/>
  <c r="D442" i="3"/>
  <c r="F442" i="3"/>
  <c r="J442" i="3"/>
  <c r="L442" i="3"/>
  <c r="D443" i="3"/>
  <c r="F443" i="3"/>
  <c r="J443" i="3"/>
  <c r="L443" i="3"/>
  <c r="D444" i="3"/>
  <c r="F444" i="3"/>
  <c r="D604" i="3"/>
  <c r="J604" i="3"/>
  <c r="L604" i="3"/>
  <c r="D605" i="3"/>
  <c r="F605" i="3"/>
  <c r="J605" i="3"/>
  <c r="L605" i="3"/>
  <c r="D606" i="3"/>
  <c r="F606" i="3"/>
  <c r="J606" i="3"/>
  <c r="L606" i="3"/>
  <c r="D607" i="3"/>
  <c r="F607" i="3"/>
  <c r="G17" i="3"/>
  <c r="G16" i="3"/>
  <c r="G15" i="3"/>
  <c r="AK3" i="3"/>
  <c r="AI3" i="3"/>
  <c r="AK4" i="3"/>
  <c r="AI4" i="3"/>
  <c r="AL3" i="3"/>
  <c r="AL4" i="3"/>
  <c r="Z146" i="3"/>
  <c r="D147" i="3"/>
  <c r="K150" i="3"/>
  <c r="K151" i="3"/>
  <c r="K152" i="3"/>
  <c r="K153" i="3"/>
  <c r="AB29" i="2"/>
  <c r="I150" i="1"/>
  <c r="J150" i="1"/>
  <c r="K150" i="1"/>
  <c r="L150" i="1"/>
  <c r="M150" i="1"/>
  <c r="N150" i="1"/>
  <c r="K5" i="1"/>
  <c r="L5" i="1"/>
  <c r="K6" i="1"/>
  <c r="L6" i="1"/>
  <c r="K7" i="1"/>
  <c r="L7" i="1"/>
  <c r="K8" i="1"/>
  <c r="L8" i="1"/>
  <c r="K9" i="1"/>
  <c r="L9" i="1"/>
  <c r="K10" i="1"/>
  <c r="L10" i="1"/>
  <c r="K11" i="1"/>
  <c r="L11" i="1"/>
  <c r="K12" i="1"/>
  <c r="L12" i="1"/>
  <c r="K13" i="1"/>
  <c r="L13" i="1"/>
  <c r="K14" i="1"/>
  <c r="L14" i="1"/>
  <c r="K15" i="1"/>
  <c r="L15" i="1"/>
  <c r="K16" i="1"/>
  <c r="L16" i="1"/>
  <c r="K17" i="1"/>
  <c r="L17" i="1"/>
  <c r="K18" i="1"/>
  <c r="L18" i="1"/>
  <c r="K19" i="1"/>
  <c r="L19" i="1"/>
  <c r="K20" i="1"/>
  <c r="L20" i="1"/>
  <c r="K21" i="1"/>
  <c r="L21" i="1"/>
  <c r="K22" i="1"/>
  <c r="L22" i="1"/>
  <c r="K23" i="1"/>
  <c r="L23" i="1"/>
  <c r="K24" i="1"/>
  <c r="L24" i="1"/>
  <c r="K25" i="1"/>
  <c r="L25" i="1"/>
  <c r="K26" i="1"/>
  <c r="L26" i="1"/>
  <c r="K27" i="1"/>
  <c r="L27" i="1"/>
  <c r="K28" i="1"/>
  <c r="L28" i="1"/>
  <c r="K29" i="1"/>
  <c r="L29" i="1"/>
  <c r="K30" i="1"/>
  <c r="L30" i="1"/>
  <c r="K31" i="1"/>
  <c r="L31" i="1"/>
  <c r="K32" i="1"/>
  <c r="L32" i="1"/>
  <c r="K33" i="1"/>
  <c r="L33" i="1"/>
  <c r="K34" i="1"/>
  <c r="L34" i="1"/>
  <c r="K35" i="1"/>
  <c r="L35" i="1"/>
  <c r="K36" i="1"/>
  <c r="L36" i="1"/>
  <c r="K37" i="1"/>
  <c r="L37" i="1"/>
  <c r="K38" i="1"/>
  <c r="L38" i="1"/>
  <c r="K39" i="1"/>
  <c r="L39" i="1"/>
  <c r="K40" i="1"/>
  <c r="L40" i="1"/>
  <c r="K41" i="1"/>
  <c r="L41" i="1"/>
  <c r="K42" i="1"/>
  <c r="L42" i="1"/>
  <c r="K43" i="1"/>
  <c r="L43" i="1"/>
  <c r="K44" i="1"/>
  <c r="L44" i="1"/>
  <c r="K45" i="1"/>
  <c r="L45" i="1"/>
  <c r="K46" i="1"/>
  <c r="L46" i="1"/>
  <c r="K47" i="1"/>
  <c r="L47" i="1"/>
  <c r="K48" i="1"/>
  <c r="L48" i="1"/>
  <c r="P49" i="1"/>
  <c r="K49" i="1"/>
  <c r="L49" i="1"/>
  <c r="P50" i="1"/>
  <c r="K50" i="1"/>
  <c r="L50" i="1"/>
  <c r="P51" i="1"/>
  <c r="K51" i="1"/>
  <c r="L51" i="1"/>
  <c r="P52" i="1"/>
  <c r="K52" i="1"/>
  <c r="L52" i="1"/>
  <c r="P53" i="1"/>
  <c r="K53" i="1"/>
  <c r="L53" i="1"/>
  <c r="P54" i="1"/>
  <c r="K54" i="1"/>
  <c r="L54" i="1"/>
  <c r="P55" i="1"/>
  <c r="K55" i="1"/>
  <c r="L55" i="1"/>
  <c r="P56" i="1"/>
  <c r="K56" i="1"/>
  <c r="L56" i="1"/>
  <c r="P57" i="1"/>
  <c r="K57" i="1"/>
  <c r="L57" i="1"/>
  <c r="P58" i="1"/>
  <c r="K58" i="1"/>
  <c r="L58" i="1"/>
  <c r="P59" i="1"/>
  <c r="K59" i="1"/>
  <c r="L59" i="1"/>
  <c r="P60" i="1"/>
  <c r="K60" i="1"/>
  <c r="L60" i="1"/>
  <c r="P61" i="1"/>
  <c r="K61" i="1"/>
  <c r="L61" i="1"/>
  <c r="P62" i="1"/>
  <c r="K62" i="1"/>
  <c r="L62" i="1"/>
  <c r="P63" i="1"/>
  <c r="K63" i="1"/>
  <c r="L63" i="1"/>
  <c r="P64" i="1"/>
  <c r="K64" i="1"/>
  <c r="L64" i="1"/>
  <c r="P65" i="1"/>
  <c r="K65" i="1"/>
  <c r="L65" i="1"/>
  <c r="P66" i="1"/>
  <c r="K66" i="1"/>
  <c r="L66" i="1"/>
  <c r="P67" i="1"/>
  <c r="K67" i="1"/>
  <c r="L67" i="1"/>
  <c r="P68" i="1"/>
  <c r="K68" i="1"/>
  <c r="L68" i="1"/>
  <c r="P69" i="1"/>
  <c r="K69" i="1"/>
  <c r="L69" i="1"/>
  <c r="P70" i="1"/>
  <c r="K70" i="1"/>
  <c r="L70" i="1"/>
  <c r="P71" i="1"/>
  <c r="K71" i="1"/>
  <c r="L71" i="1"/>
  <c r="P72" i="1"/>
  <c r="K72" i="1"/>
  <c r="L72" i="1"/>
  <c r="P73" i="1"/>
  <c r="K73" i="1"/>
  <c r="L73" i="1"/>
  <c r="P74" i="1"/>
  <c r="K74" i="1"/>
  <c r="L74" i="1"/>
  <c r="P75" i="1"/>
  <c r="K75" i="1"/>
  <c r="L75" i="1"/>
  <c r="P76" i="1"/>
  <c r="K76" i="1"/>
  <c r="L76" i="1"/>
  <c r="P77" i="1"/>
  <c r="K77" i="1"/>
  <c r="L77" i="1"/>
  <c r="P78" i="1"/>
  <c r="K78" i="1"/>
  <c r="L78" i="1"/>
  <c r="P79" i="1"/>
  <c r="K79" i="1"/>
  <c r="L79" i="1"/>
  <c r="P80" i="1"/>
  <c r="K80" i="1"/>
  <c r="L80" i="1"/>
  <c r="P81" i="1"/>
  <c r="K81" i="1"/>
  <c r="L81" i="1"/>
  <c r="P82" i="1"/>
  <c r="K82" i="1"/>
  <c r="L82" i="1"/>
  <c r="P83" i="1"/>
  <c r="K83" i="1"/>
  <c r="L83" i="1"/>
  <c r="P84" i="1"/>
  <c r="K84" i="1"/>
  <c r="L84" i="1"/>
  <c r="P85" i="1"/>
  <c r="K85" i="1"/>
  <c r="L85" i="1"/>
  <c r="P86" i="1"/>
  <c r="K86" i="1"/>
  <c r="L86" i="1"/>
  <c r="P87" i="1"/>
  <c r="K87" i="1"/>
  <c r="L87" i="1"/>
  <c r="P88" i="1"/>
  <c r="K88" i="1"/>
  <c r="L88" i="1"/>
  <c r="P89" i="1"/>
  <c r="K89" i="1"/>
  <c r="L89" i="1"/>
  <c r="P90" i="1"/>
  <c r="K90" i="1"/>
  <c r="L90" i="1"/>
  <c r="P91" i="1"/>
  <c r="K91" i="1"/>
  <c r="L91" i="1"/>
  <c r="P92" i="1"/>
  <c r="K92" i="1"/>
  <c r="L92" i="1"/>
  <c r="P93" i="1"/>
  <c r="K93" i="1"/>
  <c r="L93" i="1"/>
  <c r="P94" i="1"/>
  <c r="K94" i="1"/>
  <c r="L94" i="1"/>
  <c r="P95" i="1"/>
  <c r="K95" i="1"/>
  <c r="L95" i="1"/>
  <c r="P96" i="1"/>
  <c r="K96" i="1"/>
  <c r="L96" i="1"/>
  <c r="P97" i="1"/>
  <c r="K97" i="1"/>
  <c r="L97" i="1"/>
  <c r="P98" i="1"/>
  <c r="K98" i="1"/>
  <c r="L98" i="1"/>
  <c r="P99" i="1"/>
  <c r="K99" i="1"/>
  <c r="L99" i="1"/>
  <c r="P100" i="1"/>
  <c r="K100" i="1"/>
  <c r="L100" i="1"/>
  <c r="P101" i="1"/>
  <c r="K101" i="1"/>
  <c r="L101" i="1"/>
  <c r="P102" i="1"/>
  <c r="K102" i="1"/>
  <c r="L102" i="1"/>
  <c r="P103" i="1"/>
  <c r="K103" i="1"/>
  <c r="L103" i="1"/>
  <c r="P104" i="1"/>
  <c r="K104" i="1"/>
  <c r="L104" i="1"/>
  <c r="P105" i="1"/>
  <c r="K105" i="1"/>
  <c r="L105" i="1"/>
  <c r="P106" i="1"/>
  <c r="K106" i="1"/>
  <c r="L106" i="1"/>
  <c r="P107" i="1"/>
  <c r="K107" i="1"/>
  <c r="L107" i="1"/>
  <c r="P108" i="1"/>
  <c r="K108" i="1"/>
  <c r="L108" i="1"/>
  <c r="P109" i="1"/>
  <c r="K109" i="1"/>
  <c r="L109" i="1"/>
  <c r="P110" i="1"/>
  <c r="K110" i="1"/>
  <c r="L110" i="1"/>
  <c r="P111" i="1"/>
  <c r="K111" i="1"/>
  <c r="L111" i="1"/>
  <c r="P112" i="1"/>
  <c r="K112" i="1"/>
  <c r="L112" i="1"/>
  <c r="P113" i="1"/>
  <c r="K113" i="1"/>
  <c r="L113" i="1"/>
  <c r="P114" i="1"/>
  <c r="K114" i="1"/>
  <c r="L114" i="1"/>
  <c r="P115" i="1"/>
  <c r="K115" i="1"/>
  <c r="L115" i="1"/>
  <c r="P116" i="1"/>
  <c r="K116" i="1"/>
  <c r="L116" i="1"/>
  <c r="P117" i="1"/>
  <c r="K117" i="1"/>
  <c r="L117" i="1"/>
  <c r="P118" i="1"/>
  <c r="K118" i="1"/>
  <c r="L118" i="1"/>
  <c r="P119" i="1"/>
  <c r="K119" i="1"/>
  <c r="L119" i="1"/>
  <c r="P120" i="1"/>
  <c r="K120" i="1"/>
  <c r="L120" i="1"/>
  <c r="P121" i="1"/>
  <c r="K121" i="1"/>
  <c r="L121" i="1"/>
  <c r="P122" i="1"/>
  <c r="K122" i="1"/>
  <c r="L122" i="1"/>
  <c r="P123" i="1"/>
  <c r="K123" i="1"/>
  <c r="L123" i="1"/>
  <c r="P124" i="1"/>
  <c r="K124" i="1"/>
  <c r="L124" i="1"/>
  <c r="P125" i="1"/>
  <c r="K125" i="1"/>
  <c r="L125" i="1"/>
  <c r="P126" i="1"/>
  <c r="K126" i="1"/>
  <c r="L126" i="1"/>
  <c r="P127" i="1"/>
  <c r="K127" i="1"/>
  <c r="L127" i="1"/>
  <c r="P128" i="1"/>
  <c r="K128" i="1"/>
  <c r="L128" i="1"/>
  <c r="P129" i="1"/>
  <c r="K129" i="1"/>
  <c r="L129" i="1"/>
  <c r="P130" i="1"/>
  <c r="K130" i="1"/>
  <c r="L130" i="1"/>
  <c r="P131" i="1"/>
  <c r="K131" i="1"/>
  <c r="L131" i="1"/>
  <c r="P132" i="1"/>
  <c r="K132" i="1"/>
  <c r="L132" i="1"/>
  <c r="P133" i="1"/>
  <c r="K133" i="1"/>
  <c r="L133" i="1"/>
  <c r="P134" i="1"/>
  <c r="K134" i="1"/>
  <c r="L134" i="1"/>
  <c r="P135" i="1"/>
  <c r="K135" i="1"/>
  <c r="L135" i="1"/>
  <c r="P136" i="1"/>
  <c r="K136" i="1"/>
  <c r="L136" i="1"/>
  <c r="P137" i="1"/>
  <c r="K137" i="1"/>
  <c r="L137" i="1"/>
  <c r="P138" i="1"/>
  <c r="K138" i="1"/>
  <c r="L138" i="1"/>
  <c r="P139" i="1"/>
  <c r="K139" i="1"/>
  <c r="L139" i="1"/>
  <c r="P140" i="1"/>
  <c r="K140" i="1"/>
  <c r="L140" i="1"/>
  <c r="P141" i="1"/>
  <c r="K141" i="1"/>
  <c r="L141" i="1"/>
  <c r="P142" i="1"/>
  <c r="K142" i="1"/>
  <c r="L142" i="1"/>
  <c r="P143" i="1"/>
  <c r="K143" i="1"/>
  <c r="L143" i="1"/>
  <c r="P144" i="1"/>
  <c r="K144" i="1"/>
  <c r="L144" i="1"/>
  <c r="P145" i="1"/>
  <c r="K145" i="1"/>
  <c r="L145" i="1"/>
  <c r="P146" i="1"/>
  <c r="K146" i="1"/>
  <c r="L146" i="1"/>
  <c r="P147" i="1"/>
  <c r="K147" i="1"/>
  <c r="L147" i="1"/>
  <c r="P148" i="1"/>
  <c r="K148" i="1"/>
  <c r="L148" i="1"/>
  <c r="L4" i="1"/>
  <c r="Y6" i="2"/>
  <c r="Y7" i="2"/>
  <c r="AL5" i="3"/>
  <c r="AL6" i="3"/>
  <c r="AL7" i="3"/>
  <c r="AL8" i="3"/>
  <c r="AL9" i="3"/>
  <c r="AK5" i="3"/>
  <c r="AI5" i="3"/>
  <c r="AK6" i="3"/>
  <c r="AI6" i="3"/>
  <c r="AK7" i="3"/>
  <c r="AI7" i="3"/>
  <c r="AK8" i="3"/>
  <c r="AI8" i="3"/>
  <c r="AK9" i="3"/>
  <c r="AI9" i="3"/>
  <c r="AJ4" i="3"/>
  <c r="AJ5" i="3"/>
  <c r="AJ6" i="3"/>
  <c r="AJ7" i="3"/>
  <c r="AJ8" i="3"/>
  <c r="AJ9" i="3"/>
  <c r="AJ3" i="3"/>
  <c r="K755" i="3"/>
  <c r="K754" i="3"/>
  <c r="K753" i="3"/>
  <c r="K752" i="3"/>
  <c r="R751" i="3"/>
  <c r="K751" i="3"/>
  <c r="K750" i="3"/>
  <c r="K746" i="3"/>
  <c r="R745" i="3"/>
  <c r="K745" i="3"/>
  <c r="R744" i="3"/>
  <c r="K744" i="3"/>
  <c r="Y743" i="3"/>
  <c r="R743" i="3"/>
  <c r="K743" i="3"/>
  <c r="K742" i="3"/>
  <c r="K738" i="3"/>
  <c r="K737" i="3"/>
  <c r="K736" i="3"/>
  <c r="K735" i="3"/>
  <c r="R734" i="3"/>
  <c r="K734" i="3"/>
  <c r="R733" i="3"/>
  <c r="K733" i="3"/>
  <c r="Y732" i="3"/>
  <c r="R732" i="3"/>
  <c r="K732" i="3"/>
  <c r="K731" i="3"/>
  <c r="K727" i="3"/>
  <c r="K726" i="3"/>
  <c r="K725" i="3"/>
  <c r="K724" i="3"/>
  <c r="K723" i="3"/>
  <c r="K722" i="3"/>
  <c r="K721" i="3"/>
  <c r="K720" i="3"/>
  <c r="Y719" i="3"/>
  <c r="R719" i="3"/>
  <c r="K719" i="3"/>
  <c r="K718" i="3"/>
  <c r="K714" i="3"/>
  <c r="K713" i="3"/>
  <c r="K712" i="3"/>
  <c r="Y711" i="3"/>
  <c r="R711" i="3"/>
  <c r="K711" i="3"/>
  <c r="K710" i="3"/>
  <c r="K706" i="3"/>
  <c r="R705" i="3"/>
  <c r="K705" i="3"/>
  <c r="R704" i="3"/>
  <c r="K704" i="3"/>
  <c r="Y703" i="3"/>
  <c r="R703" i="3"/>
  <c r="K703" i="3"/>
  <c r="K702" i="3"/>
  <c r="K698" i="3"/>
  <c r="K697" i="3"/>
  <c r="K696" i="3"/>
  <c r="Y695" i="3"/>
  <c r="R695" i="3"/>
  <c r="K695" i="3"/>
  <c r="K694" i="3"/>
  <c r="K690" i="3"/>
  <c r="R689" i="3"/>
  <c r="K689" i="3"/>
  <c r="R688" i="3"/>
  <c r="K688" i="3"/>
  <c r="Y687" i="3"/>
  <c r="R687" i="3"/>
  <c r="K687" i="3"/>
  <c r="K686" i="3"/>
  <c r="K682" i="3"/>
  <c r="K681" i="3"/>
  <c r="K680" i="3"/>
  <c r="K679" i="3"/>
  <c r="K678" i="3"/>
  <c r="K677" i="3"/>
  <c r="K676" i="3"/>
  <c r="K675" i="3"/>
  <c r="R674" i="3"/>
  <c r="K674" i="3"/>
  <c r="R673" i="3"/>
  <c r="K673" i="3"/>
  <c r="Y672" i="3"/>
  <c r="R672" i="3"/>
  <c r="K672" i="3"/>
  <c r="K671" i="3"/>
  <c r="K667" i="3"/>
  <c r="K666" i="3"/>
  <c r="R665" i="3"/>
  <c r="K665" i="3"/>
  <c r="R664" i="3"/>
  <c r="K664" i="3"/>
  <c r="Y663" i="3"/>
  <c r="R663" i="3"/>
  <c r="K663" i="3"/>
  <c r="K662" i="3"/>
  <c r="K658" i="3"/>
  <c r="K657" i="3"/>
  <c r="R656" i="3"/>
  <c r="K656" i="3"/>
  <c r="R655" i="3"/>
  <c r="K655" i="3"/>
  <c r="Y654" i="3"/>
  <c r="R654" i="3"/>
  <c r="K654" i="3"/>
  <c r="K653" i="3"/>
  <c r="K649" i="3"/>
  <c r="R648" i="3"/>
  <c r="K648" i="3"/>
  <c r="R647" i="3"/>
  <c r="K647" i="3"/>
  <c r="Y646" i="3"/>
  <c r="R646" i="3"/>
  <c r="K646" i="3"/>
  <c r="K645" i="3"/>
  <c r="K641" i="3"/>
  <c r="R640" i="3"/>
  <c r="K640" i="3"/>
  <c r="R639" i="3"/>
  <c r="K639" i="3"/>
  <c r="Y638" i="3"/>
  <c r="R638" i="3"/>
  <c r="K638" i="3"/>
  <c r="K637" i="3"/>
  <c r="K633" i="3"/>
  <c r="K631" i="3"/>
  <c r="R630" i="3"/>
  <c r="K630" i="3"/>
  <c r="R629" i="3"/>
  <c r="K629" i="3"/>
  <c r="Y628" i="3"/>
  <c r="R628" i="3"/>
  <c r="K628" i="3"/>
  <c r="K627" i="3"/>
  <c r="K623" i="3"/>
  <c r="R622" i="3"/>
  <c r="K622" i="3"/>
  <c r="R621" i="3"/>
  <c r="K621" i="3"/>
  <c r="Y620" i="3"/>
  <c r="R620" i="3"/>
  <c r="K620" i="3"/>
  <c r="K619" i="3"/>
  <c r="B616" i="3"/>
  <c r="B624" i="3"/>
  <c r="B634" i="3"/>
  <c r="B642" i="3"/>
  <c r="B650" i="3"/>
  <c r="B659" i="3"/>
  <c r="B668" i="3"/>
  <c r="B683" i="3"/>
  <c r="B691" i="3"/>
  <c r="B699" i="3"/>
  <c r="B707" i="3"/>
  <c r="B715" i="3"/>
  <c r="B728" i="3"/>
  <c r="B739" i="3"/>
  <c r="B747" i="3"/>
  <c r="K615" i="3"/>
  <c r="R614" i="3"/>
  <c r="K614" i="3"/>
  <c r="R613" i="3"/>
  <c r="K613" i="3"/>
  <c r="Y612" i="3"/>
  <c r="R612" i="3"/>
  <c r="K612" i="3"/>
  <c r="K611" i="3"/>
  <c r="K573" i="3"/>
  <c r="K574" i="3"/>
  <c r="R556" i="3"/>
  <c r="R548" i="3"/>
  <c r="R493" i="3"/>
  <c r="R492" i="3"/>
  <c r="R491" i="3"/>
  <c r="R477" i="3"/>
  <c r="R476" i="3"/>
  <c r="R475" i="3"/>
  <c r="R467" i="3"/>
  <c r="R466" i="3"/>
  <c r="R465" i="3"/>
  <c r="K592" i="3"/>
  <c r="K591" i="3"/>
  <c r="K590" i="3"/>
  <c r="K589" i="3"/>
  <c r="R588" i="3"/>
  <c r="K588" i="3"/>
  <c r="K587" i="3"/>
  <c r="K583" i="3"/>
  <c r="R582" i="3"/>
  <c r="K582" i="3"/>
  <c r="R581" i="3"/>
  <c r="K581" i="3"/>
  <c r="Y580" i="3"/>
  <c r="R580" i="3"/>
  <c r="K580" i="3"/>
  <c r="K579" i="3"/>
  <c r="K575" i="3"/>
  <c r="K572" i="3"/>
  <c r="R571" i="3"/>
  <c r="K571" i="3"/>
  <c r="R570" i="3"/>
  <c r="K570" i="3"/>
  <c r="Y569" i="3"/>
  <c r="R569" i="3"/>
  <c r="K569" i="3"/>
  <c r="K568" i="3"/>
  <c r="K564" i="3"/>
  <c r="K563" i="3"/>
  <c r="K562" i="3"/>
  <c r="K561" i="3"/>
  <c r="K560" i="3"/>
  <c r="K559" i="3"/>
  <c r="K558" i="3"/>
  <c r="K557" i="3"/>
  <c r="Y556" i="3"/>
  <c r="K556" i="3"/>
  <c r="K555" i="3"/>
  <c r="K551" i="3"/>
  <c r="K550" i="3"/>
  <c r="K549" i="3"/>
  <c r="Y548" i="3"/>
  <c r="K548" i="3"/>
  <c r="K547" i="3"/>
  <c r="K543" i="3"/>
  <c r="R542" i="3"/>
  <c r="K542" i="3"/>
  <c r="R541" i="3"/>
  <c r="K541" i="3"/>
  <c r="Y540" i="3"/>
  <c r="R540" i="3"/>
  <c r="K540" i="3"/>
  <c r="K539" i="3"/>
  <c r="K535" i="3"/>
  <c r="K534" i="3"/>
  <c r="K533" i="3"/>
  <c r="Y532" i="3"/>
  <c r="R532" i="3"/>
  <c r="K532" i="3"/>
  <c r="K531" i="3"/>
  <c r="K527" i="3"/>
  <c r="R526" i="3"/>
  <c r="K526" i="3"/>
  <c r="R525" i="3"/>
  <c r="K525" i="3"/>
  <c r="Y524" i="3"/>
  <c r="R524" i="3"/>
  <c r="K524" i="3"/>
  <c r="K523" i="3"/>
  <c r="K519" i="3"/>
  <c r="K518" i="3"/>
  <c r="K517" i="3"/>
  <c r="K516" i="3"/>
  <c r="K515" i="3"/>
  <c r="K514" i="3"/>
  <c r="K513" i="3"/>
  <c r="K512" i="3"/>
  <c r="R511" i="3"/>
  <c r="K511" i="3"/>
  <c r="R510" i="3"/>
  <c r="K510" i="3"/>
  <c r="Y509" i="3"/>
  <c r="R509" i="3"/>
  <c r="K509" i="3"/>
  <c r="K508" i="3"/>
  <c r="K504" i="3"/>
  <c r="K503" i="3"/>
  <c r="R502" i="3"/>
  <c r="K502" i="3"/>
  <c r="R501" i="3"/>
  <c r="K501" i="3"/>
  <c r="Y500" i="3"/>
  <c r="R500" i="3"/>
  <c r="K500" i="3"/>
  <c r="K499" i="3"/>
  <c r="K495" i="3"/>
  <c r="K494" i="3"/>
  <c r="K493" i="3"/>
  <c r="K492" i="3"/>
  <c r="Y491" i="3"/>
  <c r="K491" i="3"/>
  <c r="K490" i="3"/>
  <c r="K486" i="3"/>
  <c r="R485" i="3"/>
  <c r="K485" i="3"/>
  <c r="R484" i="3"/>
  <c r="K484" i="3"/>
  <c r="Y483" i="3"/>
  <c r="R483" i="3"/>
  <c r="K483" i="3"/>
  <c r="K482" i="3"/>
  <c r="K478" i="3"/>
  <c r="K477" i="3"/>
  <c r="K476" i="3"/>
  <c r="Y475" i="3"/>
  <c r="K475" i="3"/>
  <c r="K474" i="3"/>
  <c r="K470" i="3"/>
  <c r="K468" i="3"/>
  <c r="K467" i="3"/>
  <c r="K466" i="3"/>
  <c r="Y465" i="3"/>
  <c r="K465" i="3"/>
  <c r="K464" i="3"/>
  <c r="K460" i="3"/>
  <c r="R459" i="3"/>
  <c r="K459" i="3"/>
  <c r="R458" i="3"/>
  <c r="K458" i="3"/>
  <c r="Y457" i="3"/>
  <c r="R457" i="3"/>
  <c r="K457" i="3"/>
  <c r="K456" i="3"/>
  <c r="B453" i="3"/>
  <c r="B461" i="3"/>
  <c r="B471" i="3"/>
  <c r="B479" i="3"/>
  <c r="B487" i="3"/>
  <c r="B496" i="3"/>
  <c r="B505" i="3"/>
  <c r="B520" i="3"/>
  <c r="B528" i="3"/>
  <c r="B536" i="3"/>
  <c r="B544" i="3"/>
  <c r="B552" i="3"/>
  <c r="B565" i="3"/>
  <c r="B576" i="3"/>
  <c r="B584" i="3"/>
  <c r="K452" i="3"/>
  <c r="R451" i="3"/>
  <c r="K451" i="3"/>
  <c r="R450" i="3"/>
  <c r="K450" i="3"/>
  <c r="Y449" i="3"/>
  <c r="R449" i="3"/>
  <c r="K449" i="3"/>
  <c r="K448" i="3"/>
  <c r="K420" i="3"/>
  <c r="R419" i="3"/>
  <c r="K419" i="3"/>
  <c r="R418" i="3"/>
  <c r="K418" i="3"/>
  <c r="Y417" i="3"/>
  <c r="R417" i="3"/>
  <c r="K417" i="3"/>
  <c r="K416" i="3"/>
  <c r="K412" i="3"/>
  <c r="K411" i="3"/>
  <c r="R410" i="3"/>
  <c r="K410" i="3"/>
  <c r="R409" i="3"/>
  <c r="K409" i="3"/>
  <c r="Y408" i="3"/>
  <c r="R408" i="3"/>
  <c r="K408" i="3"/>
  <c r="K407" i="3"/>
  <c r="R397" i="3"/>
  <c r="R396" i="3"/>
  <c r="R395" i="3"/>
  <c r="K403" i="3"/>
  <c r="K402" i="3"/>
  <c r="K401" i="3"/>
  <c r="K400" i="3"/>
  <c r="K399" i="3"/>
  <c r="K398" i="3"/>
  <c r="K397" i="3"/>
  <c r="K396" i="3"/>
  <c r="Y395" i="3"/>
  <c r="K395" i="3"/>
  <c r="K394" i="3"/>
  <c r="K390" i="3"/>
  <c r="K389" i="3"/>
  <c r="K388" i="3"/>
  <c r="Y387" i="3"/>
  <c r="R387" i="3"/>
  <c r="K387" i="3"/>
  <c r="K386" i="3"/>
  <c r="K382" i="3"/>
  <c r="R381" i="3"/>
  <c r="K381" i="3"/>
  <c r="R380" i="3"/>
  <c r="K380" i="3"/>
  <c r="Y379" i="3"/>
  <c r="R379" i="3"/>
  <c r="K379" i="3"/>
  <c r="K378" i="3"/>
  <c r="K374" i="3"/>
  <c r="R373" i="3"/>
  <c r="K373" i="3"/>
  <c r="R372" i="3"/>
  <c r="K372" i="3"/>
  <c r="Y371" i="3"/>
  <c r="R371" i="3"/>
  <c r="K371" i="3"/>
  <c r="K370" i="3"/>
  <c r="K365" i="3"/>
  <c r="K366" i="3"/>
  <c r="R365" i="3"/>
  <c r="R364" i="3"/>
  <c r="K364" i="3"/>
  <c r="Y363" i="3"/>
  <c r="R363" i="3"/>
  <c r="K363" i="3"/>
  <c r="K362" i="3"/>
  <c r="R352" i="3"/>
  <c r="R351" i="3"/>
  <c r="R350" i="3"/>
  <c r="R349" i="3"/>
  <c r="R348" i="3"/>
  <c r="K358" i="3"/>
  <c r="K357" i="3"/>
  <c r="K356" i="3"/>
  <c r="K355" i="3"/>
  <c r="K354" i="3"/>
  <c r="K353" i="3"/>
  <c r="K352" i="3"/>
  <c r="K351" i="3"/>
  <c r="K350" i="3"/>
  <c r="K349" i="3"/>
  <c r="Y348" i="3"/>
  <c r="K348" i="3"/>
  <c r="K347" i="3"/>
  <c r="K343" i="3"/>
  <c r="K342" i="3"/>
  <c r="R341" i="3"/>
  <c r="K341" i="3"/>
  <c r="R340" i="3"/>
  <c r="K340" i="3"/>
  <c r="Y339" i="3"/>
  <c r="R339" i="3"/>
  <c r="K339" i="3"/>
  <c r="K338" i="3"/>
  <c r="R333" i="3"/>
  <c r="R332" i="3"/>
  <c r="K332" i="3"/>
  <c r="K334" i="3"/>
  <c r="K333" i="3"/>
  <c r="R331" i="3"/>
  <c r="K331" i="3"/>
  <c r="R330" i="3"/>
  <c r="K330" i="3"/>
  <c r="Y329" i="3"/>
  <c r="R329" i="3"/>
  <c r="K329" i="3"/>
  <c r="K328" i="3"/>
  <c r="R323" i="3"/>
  <c r="R322" i="3"/>
  <c r="R321" i="3"/>
  <c r="R315" i="3"/>
  <c r="R314" i="3"/>
  <c r="R313" i="3"/>
  <c r="R306" i="3"/>
  <c r="R305" i="3"/>
  <c r="R304" i="3"/>
  <c r="K308" i="3"/>
  <c r="K307" i="3"/>
  <c r="K306" i="3"/>
  <c r="K305" i="3"/>
  <c r="Y304" i="3"/>
  <c r="K304" i="3"/>
  <c r="K303" i="3"/>
  <c r="K298" i="3"/>
  <c r="K295" i="3"/>
  <c r="B288" i="3"/>
  <c r="B300" i="3"/>
  <c r="B309" i="3"/>
  <c r="B317" i="3"/>
  <c r="B325" i="3"/>
  <c r="B335" i="3"/>
  <c r="K299" i="3"/>
  <c r="K297" i="3"/>
  <c r="K296" i="3"/>
  <c r="R294" i="3"/>
  <c r="K294" i="3"/>
  <c r="R293" i="3"/>
  <c r="K293" i="3"/>
  <c r="Y292" i="3"/>
  <c r="R292" i="3"/>
  <c r="K292" i="3"/>
  <c r="K291" i="3"/>
  <c r="Z607" i="3"/>
  <c r="D608" i="3"/>
  <c r="AB272" i="3"/>
  <c r="V273" i="3"/>
  <c r="AA146" i="3"/>
  <c r="O147" i="3"/>
  <c r="AA444" i="3"/>
  <c r="O445" i="3"/>
  <c r="AB146" i="3"/>
  <c r="V147" i="3"/>
  <c r="AB18" i="3"/>
  <c r="V19" i="3"/>
  <c r="AB607" i="3"/>
  <c r="V608" i="3"/>
  <c r="AA272" i="3"/>
  <c r="O273" i="3"/>
  <c r="Z272" i="3"/>
  <c r="D273" i="3"/>
  <c r="AB444" i="3"/>
  <c r="V445" i="3"/>
  <c r="Z18" i="3"/>
  <c r="D19" i="3"/>
  <c r="Z444" i="3"/>
  <c r="D445" i="3"/>
  <c r="AA607" i="3"/>
  <c r="O608" i="3"/>
  <c r="AA18" i="3"/>
  <c r="O19" i="3"/>
  <c r="B344" i="3"/>
  <c r="B359" i="3"/>
  <c r="B367" i="3"/>
  <c r="B375" i="3"/>
  <c r="B383" i="3"/>
  <c r="B391" i="3"/>
  <c r="B404" i="3"/>
  <c r="B413" i="3"/>
  <c r="B421" i="3"/>
  <c r="O715" i="3"/>
  <c r="O683" i="3"/>
  <c r="O642" i="3"/>
  <c r="O728" i="3"/>
  <c r="O691" i="3"/>
  <c r="O650" i="3"/>
  <c r="O616" i="3"/>
  <c r="O699" i="3"/>
  <c r="O624" i="3"/>
  <c r="O747" i="3"/>
  <c r="O668" i="3"/>
  <c r="O739" i="3"/>
  <c r="O634" i="3"/>
  <c r="O659" i="3"/>
  <c r="O707" i="3"/>
  <c r="V552" i="3"/>
  <c r="V520" i="3"/>
  <c r="V479" i="3"/>
  <c r="V565" i="3"/>
  <c r="V576" i="3"/>
  <c r="V536" i="3"/>
  <c r="V471" i="3"/>
  <c r="V453" i="3"/>
  <c r="V496" i="3"/>
  <c r="V528" i="3"/>
  <c r="V461" i="3"/>
  <c r="V487" i="3"/>
  <c r="V544" i="3"/>
  <c r="V584" i="3"/>
  <c r="V505" i="3"/>
  <c r="B30" i="3"/>
  <c r="B38" i="3"/>
  <c r="B46" i="3"/>
  <c r="B57" i="3"/>
  <c r="B65" i="3"/>
  <c r="B75" i="3"/>
  <c r="B88" i="3"/>
  <c r="B97" i="3"/>
  <c r="B105" i="3"/>
  <c r="V105" i="3"/>
  <c r="V65" i="3"/>
  <c r="V30" i="3"/>
  <c r="V97" i="3"/>
  <c r="V75" i="3"/>
  <c r="B115" i="3"/>
  <c r="B123" i="3"/>
  <c r="V123" i="3"/>
  <c r="V57" i="3"/>
  <c r="V38" i="3"/>
  <c r="V88" i="3"/>
  <c r="V115" i="3"/>
  <c r="V46" i="3"/>
  <c r="V421" i="3"/>
  <c r="V383" i="3"/>
  <c r="V344" i="3"/>
  <c r="V309" i="3"/>
  <c r="V367" i="3"/>
  <c r="V300" i="3"/>
  <c r="V413" i="3"/>
  <c r="V391" i="3"/>
  <c r="V325" i="3"/>
  <c r="V375" i="3"/>
  <c r="V404" i="3"/>
  <c r="V335" i="3"/>
  <c r="V359" i="3"/>
  <c r="V288" i="3"/>
  <c r="V317" i="3"/>
  <c r="D576" i="3"/>
  <c r="D536" i="3"/>
  <c r="D496" i="3"/>
  <c r="D461" i="3"/>
  <c r="D584" i="3"/>
  <c r="D528" i="3"/>
  <c r="D505" i="3"/>
  <c r="D552" i="3"/>
  <c r="D487" i="3"/>
  <c r="D471" i="3"/>
  <c r="D565" i="3"/>
  <c r="D520" i="3"/>
  <c r="D453" i="3"/>
  <c r="D544" i="3"/>
  <c r="D479" i="3"/>
  <c r="D404" i="3"/>
  <c r="D367" i="3"/>
  <c r="D325" i="3"/>
  <c r="D288" i="3"/>
  <c r="D421" i="3"/>
  <c r="D359" i="3"/>
  <c r="D335" i="3"/>
  <c r="D383" i="3"/>
  <c r="D317" i="3"/>
  <c r="D300" i="3"/>
  <c r="D413" i="3"/>
  <c r="D344" i="3"/>
  <c r="D309" i="3"/>
  <c r="D391" i="3"/>
  <c r="D375" i="3"/>
  <c r="B158" i="3"/>
  <c r="B166" i="3"/>
  <c r="B174" i="3"/>
  <c r="B185" i="3"/>
  <c r="B193" i="3"/>
  <c r="B202" i="3"/>
  <c r="B215" i="3"/>
  <c r="B225" i="3"/>
  <c r="B233" i="3"/>
  <c r="B241" i="3"/>
  <c r="V241" i="3"/>
  <c r="V202" i="3"/>
  <c r="V166" i="3"/>
  <c r="B249" i="3"/>
  <c r="V249" i="3"/>
  <c r="V185" i="3"/>
  <c r="V233" i="3"/>
  <c r="V215" i="3"/>
  <c r="V174" i="3"/>
  <c r="V193" i="3"/>
  <c r="V225" i="3"/>
  <c r="V158" i="3"/>
  <c r="D747" i="3"/>
  <c r="D707" i="3"/>
  <c r="D668" i="3"/>
  <c r="D634" i="3"/>
  <c r="D715" i="3"/>
  <c r="D683" i="3"/>
  <c r="D642" i="3"/>
  <c r="D728" i="3"/>
  <c r="D650" i="3"/>
  <c r="D699" i="3"/>
  <c r="D624" i="3"/>
  <c r="D691" i="3"/>
  <c r="D739" i="3"/>
  <c r="D616" i="3"/>
  <c r="D659" i="3"/>
  <c r="D123" i="3"/>
  <c r="D88" i="3"/>
  <c r="D46" i="3"/>
  <c r="D65" i="3"/>
  <c r="D115" i="3"/>
  <c r="D97" i="3"/>
  <c r="D57" i="3"/>
  <c r="D30" i="3"/>
  <c r="D75" i="3"/>
  <c r="D105" i="3"/>
  <c r="D38" i="3"/>
  <c r="O413" i="3"/>
  <c r="O375" i="3"/>
  <c r="O335" i="3"/>
  <c r="O300" i="3"/>
  <c r="O404" i="3"/>
  <c r="O383" i="3"/>
  <c r="O317" i="3"/>
  <c r="O367" i="3"/>
  <c r="O344" i="3"/>
  <c r="O309" i="3"/>
  <c r="O391" i="3"/>
  <c r="O325" i="3"/>
  <c r="O421" i="3"/>
  <c r="O359" i="3"/>
  <c r="O288" i="3"/>
  <c r="O584" i="3"/>
  <c r="O544" i="3"/>
  <c r="O505" i="3"/>
  <c r="O471" i="3"/>
  <c r="O552" i="3"/>
  <c r="O487" i="3"/>
  <c r="O576" i="3"/>
  <c r="O536" i="3"/>
  <c r="O520" i="3"/>
  <c r="O453" i="3"/>
  <c r="O565" i="3"/>
  <c r="O496" i="3"/>
  <c r="O528" i="3"/>
  <c r="O461" i="3"/>
  <c r="O479" i="3"/>
  <c r="O97" i="3"/>
  <c r="O57" i="3"/>
  <c r="O115" i="3"/>
  <c r="O46" i="3"/>
  <c r="O30" i="3"/>
  <c r="O75" i="3"/>
  <c r="O123" i="3"/>
  <c r="O88" i="3"/>
  <c r="O105" i="3"/>
  <c r="O38" i="3"/>
  <c r="O65" i="3"/>
  <c r="D225" i="3"/>
  <c r="D185" i="3"/>
  <c r="D241" i="3"/>
  <c r="D174" i="3"/>
  <c r="D158" i="3"/>
  <c r="D202" i="3"/>
  <c r="D249" i="3"/>
  <c r="D233" i="3"/>
  <c r="D166" i="3"/>
  <c r="D193" i="3"/>
  <c r="D215" i="3"/>
  <c r="V728" i="3"/>
  <c r="V691" i="3"/>
  <c r="V650" i="3"/>
  <c r="V616" i="3"/>
  <c r="V739" i="3"/>
  <c r="V699" i="3"/>
  <c r="V659" i="3"/>
  <c r="V624" i="3"/>
  <c r="V747" i="3"/>
  <c r="V668" i="3"/>
  <c r="V715" i="3"/>
  <c r="V642" i="3"/>
  <c r="V634" i="3"/>
  <c r="V683" i="3"/>
  <c r="V707" i="3"/>
  <c r="O233" i="3"/>
  <c r="O193" i="3"/>
  <c r="O158" i="3"/>
  <c r="O225" i="3"/>
  <c r="O202" i="3"/>
  <c r="O249" i="3"/>
  <c r="O185" i="3"/>
  <c r="O166" i="3"/>
  <c r="O215" i="3"/>
  <c r="O241" i="3"/>
  <c r="O174" i="3"/>
  <c r="R279" i="3"/>
  <c r="R278" i="3"/>
  <c r="K284" i="3"/>
  <c r="K283" i="3"/>
  <c r="K286" i="3"/>
  <c r="K285" i="3"/>
  <c r="K429" i="3"/>
  <c r="K428" i="3"/>
  <c r="K427" i="3"/>
  <c r="K426" i="3"/>
  <c r="R425" i="3"/>
  <c r="K425" i="3"/>
  <c r="K424" i="3"/>
  <c r="K324" i="3"/>
  <c r="K323" i="3"/>
  <c r="K322" i="3"/>
  <c r="Y321" i="3"/>
  <c r="K321" i="3"/>
  <c r="K320" i="3"/>
  <c r="K316" i="3"/>
  <c r="K315" i="3"/>
  <c r="K314" i="3"/>
  <c r="Y313" i="3"/>
  <c r="K313" i="3"/>
  <c r="K312" i="3"/>
  <c r="K287" i="3"/>
  <c r="K282" i="3"/>
  <c r="K281" i="3"/>
  <c r="K280" i="3"/>
  <c r="K279" i="3"/>
  <c r="K278" i="3"/>
  <c r="Y277" i="3"/>
  <c r="R277" i="3"/>
  <c r="K277" i="3"/>
  <c r="K276" i="3"/>
  <c r="R223" i="3"/>
  <c r="R222" i="3"/>
  <c r="R197" i="3"/>
  <c r="R182" i="3"/>
  <c r="R181" i="3"/>
  <c r="R180" i="3"/>
  <c r="R179" i="3"/>
  <c r="R178" i="3"/>
  <c r="R170" i="3"/>
  <c r="R164" i="3"/>
  <c r="R163" i="3"/>
  <c r="R162" i="3"/>
  <c r="J17" i="3"/>
  <c r="J16" i="3"/>
  <c r="J15" i="3"/>
  <c r="D18" i="3"/>
  <c r="D17" i="3"/>
  <c r="D16" i="3"/>
  <c r="D15" i="3"/>
  <c r="K257" i="3"/>
  <c r="K256" i="3"/>
  <c r="K255" i="3"/>
  <c r="K254" i="3"/>
  <c r="R253" i="3"/>
  <c r="K253" i="3"/>
  <c r="K252" i="3"/>
  <c r="K248" i="3"/>
  <c r="K247" i="3"/>
  <c r="K246" i="3"/>
  <c r="Y245" i="3"/>
  <c r="R245" i="3"/>
  <c r="K245" i="3"/>
  <c r="K244" i="3"/>
  <c r="K240" i="3"/>
  <c r="K239" i="3"/>
  <c r="K238" i="3"/>
  <c r="Y237" i="3"/>
  <c r="R237" i="3"/>
  <c r="K237" i="3"/>
  <c r="K236" i="3"/>
  <c r="K232" i="3"/>
  <c r="K231" i="3"/>
  <c r="K230" i="3"/>
  <c r="Y229" i="3"/>
  <c r="R229" i="3"/>
  <c r="K229" i="3"/>
  <c r="K228" i="3"/>
  <c r="K222" i="3"/>
  <c r="R221" i="3"/>
  <c r="K221" i="3"/>
  <c r="R220" i="3"/>
  <c r="K220" i="3"/>
  <c r="Y219" i="3"/>
  <c r="R219" i="3"/>
  <c r="K219" i="3"/>
  <c r="K218" i="3"/>
  <c r="K214" i="3"/>
  <c r="K213" i="3"/>
  <c r="K212" i="3"/>
  <c r="K211" i="3"/>
  <c r="K210" i="3"/>
  <c r="K209" i="3"/>
  <c r="K208" i="3"/>
  <c r="K207" i="3"/>
  <c r="Y206" i="3"/>
  <c r="R206" i="3"/>
  <c r="K206" i="3"/>
  <c r="K205" i="3"/>
  <c r="K201" i="3"/>
  <c r="K200" i="3"/>
  <c r="K199" i="3"/>
  <c r="K198" i="3"/>
  <c r="Y197" i="3"/>
  <c r="K197" i="3"/>
  <c r="K196" i="3"/>
  <c r="K192" i="3"/>
  <c r="K191" i="3"/>
  <c r="K190" i="3"/>
  <c r="Y189" i="3"/>
  <c r="R189" i="3"/>
  <c r="K189" i="3"/>
  <c r="K188" i="3"/>
  <c r="K184" i="3"/>
  <c r="K183" i="3"/>
  <c r="K182" i="3"/>
  <c r="K181" i="3"/>
  <c r="K180" i="3"/>
  <c r="K179" i="3"/>
  <c r="Y178" i="3"/>
  <c r="K178" i="3"/>
  <c r="K177" i="3"/>
  <c r="K173" i="3"/>
  <c r="K172" i="3"/>
  <c r="K171" i="3"/>
  <c r="Y170" i="3"/>
  <c r="K170" i="3"/>
  <c r="K169" i="3"/>
  <c r="K165" i="3"/>
  <c r="K164" i="3"/>
  <c r="K163" i="3"/>
  <c r="Y162" i="3"/>
  <c r="K162" i="3"/>
  <c r="K161" i="3"/>
  <c r="K157" i="3"/>
  <c r="K156" i="3"/>
  <c r="K155" i="3"/>
  <c r="K154" i="3"/>
  <c r="Y151" i="3"/>
  <c r="R151" i="3"/>
  <c r="K23" i="3"/>
  <c r="K24" i="3"/>
  <c r="K25" i="3"/>
  <c r="K26" i="3"/>
  <c r="K27" i="3"/>
  <c r="K28" i="3"/>
  <c r="K29" i="3"/>
  <c r="R127" i="3"/>
  <c r="K131" i="3"/>
  <c r="K130" i="3"/>
  <c r="K129" i="3"/>
  <c r="K128" i="3"/>
  <c r="K127" i="3"/>
  <c r="K126" i="3"/>
  <c r="K122" i="3"/>
  <c r="K121" i="3"/>
  <c r="K120" i="3"/>
  <c r="Y119" i="3"/>
  <c r="R119" i="3"/>
  <c r="K119" i="3"/>
  <c r="K118" i="3"/>
  <c r="K112" i="3"/>
  <c r="K114" i="3"/>
  <c r="R113" i="3"/>
  <c r="K113" i="3"/>
  <c r="R112" i="3"/>
  <c r="R111" i="3"/>
  <c r="K111" i="3"/>
  <c r="R110" i="3"/>
  <c r="K110" i="3"/>
  <c r="Y109" i="3"/>
  <c r="R109" i="3"/>
  <c r="K109" i="3"/>
  <c r="K108" i="3"/>
  <c r="K104" i="3"/>
  <c r="K103" i="3"/>
  <c r="K102" i="3"/>
  <c r="Y101" i="3"/>
  <c r="R101" i="3"/>
  <c r="K101" i="3"/>
  <c r="K100" i="3"/>
  <c r="R94" i="3"/>
  <c r="R93" i="3"/>
  <c r="K96" i="3"/>
  <c r="K95" i="3"/>
  <c r="K94" i="3"/>
  <c r="K93" i="3"/>
  <c r="Y92" i="3"/>
  <c r="R92" i="3"/>
  <c r="K92" i="3"/>
  <c r="K91" i="3"/>
  <c r="K80" i="3"/>
  <c r="K81" i="3"/>
  <c r="K82" i="3"/>
  <c r="K83" i="3"/>
  <c r="K84" i="3"/>
  <c r="K85" i="3"/>
  <c r="K86" i="3"/>
  <c r="K87" i="3"/>
  <c r="Y79" i="3"/>
  <c r="R79" i="3"/>
  <c r="K79" i="3"/>
  <c r="K78" i="3"/>
  <c r="R73" i="3"/>
  <c r="R72" i="3"/>
  <c r="R71" i="3"/>
  <c r="R70" i="3"/>
  <c r="K74" i="3"/>
  <c r="K73" i="3"/>
  <c r="K72" i="3"/>
  <c r="K71" i="3"/>
  <c r="K70" i="3"/>
  <c r="Y69" i="3"/>
  <c r="R69" i="3"/>
  <c r="K69" i="3"/>
  <c r="K68" i="3"/>
  <c r="R61" i="3"/>
  <c r="K63" i="3"/>
  <c r="K64" i="3"/>
  <c r="K62" i="3"/>
  <c r="Y61" i="3"/>
  <c r="K61" i="3"/>
  <c r="K60" i="3"/>
  <c r="K55" i="3"/>
  <c r="K56" i="3"/>
  <c r="K54" i="3"/>
  <c r="K53" i="3"/>
  <c r="K52" i="3"/>
  <c r="K51" i="3"/>
  <c r="Y50" i="3"/>
  <c r="R50" i="3"/>
  <c r="K50" i="3"/>
  <c r="K49" i="3"/>
  <c r="R44" i="3"/>
  <c r="R43" i="3"/>
  <c r="K45" i="3"/>
  <c r="K44" i="3"/>
  <c r="K43" i="3"/>
  <c r="Y42" i="3"/>
  <c r="R42" i="3"/>
  <c r="K42" i="3"/>
  <c r="K41" i="3"/>
  <c r="K37" i="3"/>
  <c r="K36" i="3"/>
  <c r="K35" i="3"/>
  <c r="Y34" i="3"/>
  <c r="R34" i="3"/>
  <c r="K34" i="3"/>
  <c r="K33" i="3"/>
  <c r="Y23" i="3"/>
  <c r="R23" i="3"/>
  <c r="K22" i="3"/>
  <c r="AK32" i="2"/>
  <c r="S16" i="2"/>
  <c r="AK31" i="2"/>
  <c r="P19" i="2"/>
  <c r="AN31" i="2"/>
  <c r="AM19" i="2"/>
  <c r="AL12" i="2"/>
  <c r="AL13" i="2"/>
  <c r="AL14" i="2"/>
  <c r="AL15" i="2"/>
  <c r="AL16" i="2"/>
  <c r="AL17" i="2"/>
  <c r="AL11" i="2"/>
  <c r="AB9" i="2"/>
  <c r="AB10" i="2"/>
  <c r="Y9" i="2"/>
  <c r="Y10" i="2"/>
  <c r="AB6" i="2"/>
  <c r="AB7" i="2"/>
  <c r="AM14" i="2"/>
  <c r="AM15" i="2"/>
  <c r="AL21" i="2"/>
  <c r="AM21" i="2"/>
  <c r="AL20" i="2"/>
  <c r="AM20" i="2"/>
  <c r="AM13" i="2"/>
  <c r="AM17" i="2"/>
  <c r="AM16" i="2"/>
  <c r="AM12" i="2"/>
  <c r="AL18" i="2"/>
  <c r="J5" i="1"/>
  <c r="I5" i="1"/>
  <c r="G6" i="1"/>
  <c r="C5" i="1"/>
  <c r="D5" i="1"/>
  <c r="E5" i="1"/>
  <c r="F5" i="1"/>
  <c r="G5" i="1"/>
  <c r="H5" i="1"/>
  <c r="B5" i="1"/>
  <c r="N6" i="1"/>
  <c r="N5" i="1"/>
  <c r="M5" i="1"/>
  <c r="K151" i="1"/>
  <c r="T3" i="3"/>
  <c r="L151" i="1"/>
  <c r="I48" i="1"/>
  <c r="I151" i="1"/>
  <c r="M48" i="1"/>
  <c r="M151" i="1"/>
  <c r="J48" i="1"/>
  <c r="J151" i="1"/>
  <c r="N48" i="1"/>
  <c r="N151" i="1"/>
  <c r="Z3" i="3"/>
  <c r="Z605" i="3"/>
  <c r="A151" i="1"/>
  <c r="V3" i="3"/>
  <c r="AL22" i="2"/>
  <c r="AM22" i="2"/>
  <c r="AM23" i="2"/>
  <c r="K28" i="2"/>
  <c r="I6" i="1"/>
  <c r="J6" i="1"/>
  <c r="D6" i="1"/>
  <c r="H6" i="1"/>
  <c r="F6" i="1"/>
  <c r="M6" i="1"/>
  <c r="B6" i="1"/>
  <c r="C6" i="1"/>
  <c r="E6"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Z144" i="3"/>
  <c r="Z442" i="3"/>
  <c r="Z270" i="3"/>
  <c r="W371" i="3"/>
  <c r="Z16" i="3"/>
  <c r="S606" i="3"/>
  <c r="S271" i="3"/>
  <c r="P322" i="3"/>
  <c r="S145" i="3"/>
  <c r="W245" i="3"/>
  <c r="S17" i="3"/>
  <c r="W109" i="3"/>
  <c r="S443" i="3"/>
  <c r="P501" i="3"/>
  <c r="S607" i="3"/>
  <c r="S18" i="3"/>
  <c r="S146" i="3"/>
  <c r="S444" i="3"/>
  <c r="S272" i="3"/>
  <c r="I7" i="1"/>
  <c r="E7" i="1"/>
  <c r="D7" i="1"/>
  <c r="J7" i="1"/>
  <c r="B7" i="1"/>
  <c r="H7" i="1"/>
  <c r="M7" i="1"/>
  <c r="C7" i="1"/>
  <c r="N7" i="1"/>
  <c r="F7" i="1"/>
  <c r="G7" i="1"/>
  <c r="W408" i="3"/>
  <c r="W119" i="3"/>
  <c r="W417" i="3"/>
  <c r="W329" i="3"/>
  <c r="P466" i="3"/>
  <c r="W321" i="3"/>
  <c r="W79" i="3"/>
  <c r="W292" i="3"/>
  <c r="W313" i="3"/>
  <c r="W395" i="3"/>
  <c r="W379" i="3"/>
  <c r="W363" i="3"/>
  <c r="W277" i="3"/>
  <c r="W197" i="3"/>
  <c r="W339" i="3"/>
  <c r="W387" i="3"/>
  <c r="W348" i="3"/>
  <c r="W61" i="3"/>
  <c r="W101" i="3"/>
  <c r="W69" i="3"/>
  <c r="W92" i="3"/>
  <c r="W23" i="3"/>
  <c r="W42" i="3"/>
  <c r="W50" i="3"/>
  <c r="W229" i="3"/>
  <c r="W34" i="3"/>
  <c r="W162" i="3"/>
  <c r="W206" i="3"/>
  <c r="W219" i="3"/>
  <c r="W170" i="3"/>
  <c r="W151" i="3"/>
  <c r="W237" i="3"/>
  <c r="P629" i="3"/>
  <c r="P664" i="3"/>
  <c r="W189" i="3"/>
  <c r="W178" i="3"/>
  <c r="P222" i="3"/>
  <c r="P163" i="3"/>
  <c r="P253" i="3"/>
  <c r="P179" i="3"/>
  <c r="P220" i="3"/>
  <c r="P181" i="3"/>
  <c r="P93" i="3"/>
  <c r="P110" i="3"/>
  <c r="P43" i="3"/>
  <c r="P127" i="3"/>
  <c r="P72" i="3"/>
  <c r="P112" i="3"/>
  <c r="P70" i="3"/>
  <c r="P582" i="3"/>
  <c r="P540" i="3"/>
  <c r="P542" i="3"/>
  <c r="P502" i="3"/>
  <c r="P477" i="3"/>
  <c r="P451" i="3"/>
  <c r="P569" i="3"/>
  <c r="P509" i="3"/>
  <c r="P483" i="3"/>
  <c r="P485" i="3"/>
  <c r="P457" i="3"/>
  <c r="P459" i="3"/>
  <c r="P580" i="3"/>
  <c r="P524" i="3"/>
  <c r="P526" i="3"/>
  <c r="P500" i="3"/>
  <c r="P475" i="3"/>
  <c r="P449" i="3"/>
  <c r="P571" i="3"/>
  <c r="P511" i="3"/>
  <c r="P491" i="3"/>
  <c r="P493" i="3"/>
  <c r="P465" i="3"/>
  <c r="P467" i="3"/>
  <c r="W304" i="3"/>
  <c r="P417" i="3"/>
  <c r="P387" i="3"/>
  <c r="P352" i="3"/>
  <c r="P339" i="3"/>
  <c r="P321" i="3"/>
  <c r="P323" i="3"/>
  <c r="P292" i="3"/>
  <c r="P294" i="3"/>
  <c r="P419" i="3"/>
  <c r="P395" i="3"/>
  <c r="P397" i="3"/>
  <c r="P363" i="3"/>
  <c r="P365" i="3"/>
  <c r="P341" i="3"/>
  <c r="P329" i="3"/>
  <c r="P304" i="3"/>
  <c r="P410" i="3"/>
  <c r="P379" i="3"/>
  <c r="P381" i="3"/>
  <c r="P350" i="3"/>
  <c r="P333" i="3"/>
  <c r="P313" i="3"/>
  <c r="P315" i="3"/>
  <c r="P279" i="3"/>
  <c r="P425" i="3"/>
  <c r="P408" i="3"/>
  <c r="P371" i="3"/>
  <c r="P373" i="3"/>
  <c r="P348" i="3"/>
  <c r="P331" i="3"/>
  <c r="P306" i="3"/>
  <c r="P277" i="3"/>
  <c r="P732" i="3"/>
  <c r="P687" i="3"/>
  <c r="P663" i="3"/>
  <c r="P646" i="3"/>
  <c r="P622" i="3"/>
  <c r="P734" i="3"/>
  <c r="P689" i="3"/>
  <c r="P665" i="3"/>
  <c r="P648" i="3"/>
  <c r="P628" i="3"/>
  <c r="P630" i="3"/>
  <c r="P612" i="3"/>
  <c r="P745" i="3"/>
  <c r="P705" i="3"/>
  <c r="P674" i="3"/>
  <c r="P656" i="3"/>
  <c r="P640" i="3"/>
  <c r="P620" i="3"/>
  <c r="P743" i="3"/>
  <c r="P703" i="3"/>
  <c r="P672" i="3"/>
  <c r="P654" i="3"/>
  <c r="P638" i="3"/>
  <c r="P614" i="3"/>
  <c r="J8" i="1"/>
  <c r="B8" i="1"/>
  <c r="F8" i="1"/>
  <c r="C8" i="1"/>
  <c r="H8" i="1"/>
  <c r="M8" i="1"/>
  <c r="I8" i="1"/>
  <c r="D8" i="1"/>
  <c r="E8" i="1"/>
  <c r="N8" i="1"/>
  <c r="G8" i="1"/>
  <c r="J9" i="1"/>
  <c r="C9" i="1"/>
  <c r="G9" i="1"/>
  <c r="F9" i="1"/>
  <c r="B9" i="1"/>
  <c r="N9" i="1"/>
  <c r="D9" i="1"/>
  <c r="I9" i="1"/>
  <c r="E9" i="1"/>
  <c r="M9" i="1"/>
  <c r="H9" i="1"/>
  <c r="D10" i="1"/>
  <c r="H10" i="1"/>
  <c r="I10" i="1"/>
  <c r="E10" i="1"/>
  <c r="M10" i="1"/>
  <c r="B10" i="1"/>
  <c r="C10" i="1"/>
  <c r="N10" i="1"/>
  <c r="F10" i="1"/>
  <c r="J10" i="1"/>
  <c r="G10" i="1"/>
  <c r="I11" i="1"/>
  <c r="J11" i="1"/>
  <c r="E11" i="1"/>
  <c r="C11" i="1"/>
  <c r="H11" i="1"/>
  <c r="B11" i="1"/>
  <c r="D11" i="1"/>
  <c r="F11" i="1"/>
  <c r="G11" i="1"/>
  <c r="M11" i="1"/>
  <c r="N11" i="1"/>
  <c r="J12" i="1"/>
  <c r="B12" i="1"/>
  <c r="F12" i="1"/>
  <c r="G12" i="1"/>
  <c r="M12" i="1"/>
  <c r="C12" i="1"/>
  <c r="N12" i="1"/>
  <c r="I12" i="1"/>
  <c r="D12" i="1"/>
  <c r="E12" i="1"/>
  <c r="H12" i="1"/>
  <c r="I13" i="1"/>
  <c r="J13" i="1"/>
  <c r="C13" i="1"/>
  <c r="G13" i="1"/>
  <c r="E13" i="1"/>
  <c r="B13" i="1"/>
  <c r="D13" i="1"/>
  <c r="M13" i="1"/>
  <c r="F13" i="1"/>
  <c r="N13" i="1"/>
  <c r="H13" i="1"/>
  <c r="D14" i="1"/>
  <c r="H14" i="1"/>
  <c r="C14" i="1"/>
  <c r="M14" i="1"/>
  <c r="B14" i="1"/>
  <c r="E14" i="1"/>
  <c r="I14" i="1"/>
  <c r="F14" i="1"/>
  <c r="J14" i="1"/>
  <c r="N14" i="1"/>
  <c r="G14" i="1"/>
  <c r="I15" i="1"/>
  <c r="E15" i="1"/>
  <c r="B15" i="1"/>
  <c r="G15" i="1"/>
  <c r="J15" i="1"/>
  <c r="C15" i="1"/>
  <c r="M15" i="1"/>
  <c r="D15" i="1"/>
  <c r="N15" i="1"/>
  <c r="F15" i="1"/>
  <c r="H15" i="1"/>
  <c r="J16" i="1"/>
  <c r="B16" i="1"/>
  <c r="F16" i="1"/>
  <c r="I16" i="1"/>
  <c r="E16" i="1"/>
  <c r="M16" i="1"/>
  <c r="C16" i="1"/>
  <c r="D16" i="1"/>
  <c r="G16" i="1"/>
  <c r="H16" i="1"/>
  <c r="N16" i="1"/>
  <c r="C17" i="1"/>
  <c r="G17" i="1"/>
  <c r="D17" i="1"/>
  <c r="B17" i="1"/>
  <c r="N17" i="1"/>
  <c r="I17" i="1"/>
  <c r="E17" i="1"/>
  <c r="J17" i="1"/>
  <c r="F17" i="1"/>
  <c r="H17" i="1"/>
  <c r="M17" i="1"/>
  <c r="J18" i="1"/>
  <c r="I18" i="1"/>
  <c r="D18" i="1"/>
  <c r="H18" i="1"/>
  <c r="B18" i="1"/>
  <c r="G18" i="1"/>
  <c r="M18" i="1"/>
  <c r="C18" i="1"/>
  <c r="E18" i="1"/>
  <c r="N18" i="1"/>
  <c r="F18" i="1"/>
  <c r="I19" i="1"/>
  <c r="E19" i="1"/>
  <c r="J19" i="1"/>
  <c r="F19" i="1"/>
  <c r="C19" i="1"/>
  <c r="D19" i="1"/>
  <c r="G19" i="1"/>
  <c r="H19" i="1"/>
  <c r="M19" i="1"/>
  <c r="N19" i="1"/>
  <c r="B19" i="1"/>
  <c r="J20" i="1"/>
  <c r="I20" i="1"/>
  <c r="B20" i="1"/>
  <c r="F20" i="1"/>
  <c r="D20" i="1"/>
  <c r="M20" i="1"/>
  <c r="C20" i="1"/>
  <c r="N20" i="1"/>
  <c r="E20" i="1"/>
  <c r="G20" i="1"/>
  <c r="H20" i="1"/>
  <c r="C21" i="1"/>
  <c r="G21" i="1"/>
  <c r="B21" i="1"/>
  <c r="H21" i="1"/>
  <c r="D21" i="1"/>
  <c r="I21" i="1"/>
  <c r="E21" i="1"/>
  <c r="M21" i="1"/>
  <c r="J21" i="1"/>
  <c r="F21" i="1"/>
  <c r="N21" i="1"/>
  <c r="I22" i="1"/>
  <c r="D22" i="1"/>
  <c r="H22" i="1"/>
  <c r="J22" i="1"/>
  <c r="F22" i="1"/>
  <c r="M22" i="1"/>
  <c r="C22" i="1"/>
  <c r="E22" i="1"/>
  <c r="G22" i="1"/>
  <c r="B22" i="1"/>
  <c r="N22" i="1"/>
  <c r="I23" i="1"/>
  <c r="E23" i="1"/>
  <c r="D23" i="1"/>
  <c r="C23" i="1"/>
  <c r="M23" i="1"/>
  <c r="F23" i="1"/>
  <c r="N23" i="1"/>
  <c r="G23" i="1"/>
  <c r="H23" i="1"/>
  <c r="J23" i="1"/>
  <c r="B23" i="1"/>
  <c r="J24" i="1"/>
  <c r="B24" i="1"/>
  <c r="F24" i="1"/>
  <c r="C24" i="1"/>
  <c r="H24" i="1"/>
  <c r="M24" i="1"/>
  <c r="I24" i="1"/>
  <c r="D24" i="1"/>
  <c r="E24" i="1"/>
  <c r="G24" i="1"/>
  <c r="N24" i="1"/>
  <c r="J25" i="1"/>
  <c r="I25" i="1"/>
  <c r="C25" i="1"/>
  <c r="G25" i="1"/>
  <c r="F25" i="1"/>
  <c r="D25" i="1"/>
  <c r="N25" i="1"/>
  <c r="E25" i="1"/>
  <c r="H25" i="1"/>
  <c r="B25" i="1"/>
  <c r="M25" i="1"/>
  <c r="D26" i="1"/>
  <c r="H26" i="1"/>
  <c r="I26" i="1"/>
  <c r="E26" i="1"/>
  <c r="M26" i="1"/>
  <c r="C26" i="1"/>
  <c r="F26" i="1"/>
  <c r="N26" i="1"/>
  <c r="J26" i="1"/>
  <c r="G26" i="1"/>
  <c r="B26" i="1"/>
  <c r="I27" i="1"/>
  <c r="J27" i="1"/>
  <c r="E27" i="1"/>
  <c r="C27" i="1"/>
  <c r="H27" i="1"/>
  <c r="D27" i="1"/>
  <c r="F27" i="1"/>
  <c r="G27" i="1"/>
  <c r="M27" i="1"/>
  <c r="B27" i="1"/>
  <c r="N27" i="1"/>
  <c r="J28" i="1"/>
  <c r="B28" i="1"/>
  <c r="F28" i="1"/>
  <c r="G28" i="1"/>
  <c r="M28" i="1"/>
  <c r="I28" i="1"/>
  <c r="D28" i="1"/>
  <c r="N28" i="1"/>
  <c r="E28" i="1"/>
  <c r="H28" i="1"/>
  <c r="C28" i="1"/>
  <c r="I29" i="1"/>
  <c r="C29" i="1"/>
  <c r="G29" i="1"/>
  <c r="E29" i="1"/>
  <c r="D29" i="1"/>
  <c r="J29" i="1"/>
  <c r="F29" i="1"/>
  <c r="M29" i="1"/>
  <c r="H29" i="1"/>
  <c r="N29" i="1"/>
  <c r="B29" i="1"/>
  <c r="I30" i="1"/>
  <c r="D30" i="1"/>
  <c r="H30" i="1"/>
  <c r="C30" i="1"/>
  <c r="M30" i="1"/>
  <c r="E30" i="1"/>
  <c r="F30" i="1"/>
  <c r="J30" i="1"/>
  <c r="G30" i="1"/>
  <c r="N30" i="1"/>
  <c r="B30" i="1"/>
  <c r="I31" i="1"/>
  <c r="E31" i="1"/>
  <c r="B31" i="1"/>
  <c r="G31" i="1"/>
  <c r="D31" i="1"/>
  <c r="M31" i="1"/>
  <c r="F31" i="1"/>
  <c r="N31" i="1"/>
  <c r="H31" i="1"/>
  <c r="J31" i="1"/>
  <c r="C31" i="1"/>
  <c r="J32" i="1"/>
  <c r="I32" i="1"/>
  <c r="B32" i="1"/>
  <c r="F32" i="1"/>
  <c r="E32" i="1"/>
  <c r="M32" i="1"/>
  <c r="D32" i="1"/>
  <c r="G32" i="1"/>
  <c r="H32" i="1"/>
  <c r="C32" i="1"/>
  <c r="N32" i="1"/>
  <c r="C33" i="1"/>
  <c r="G33" i="1"/>
  <c r="D33" i="1"/>
  <c r="I33" i="1"/>
  <c r="E33" i="1"/>
  <c r="N33" i="1"/>
  <c r="J33" i="1"/>
  <c r="F33" i="1"/>
  <c r="H33" i="1"/>
  <c r="B33" i="1"/>
  <c r="M33" i="1"/>
  <c r="J34" i="1"/>
  <c r="D34" i="1"/>
  <c r="H34" i="1"/>
  <c r="B34" i="1"/>
  <c r="G34" i="1"/>
  <c r="M34" i="1"/>
  <c r="E34" i="1"/>
  <c r="F34" i="1"/>
  <c r="N34" i="1"/>
  <c r="I34" i="1"/>
  <c r="C34" i="1"/>
  <c r="I35" i="1"/>
  <c r="E35" i="1"/>
  <c r="J35" i="1"/>
  <c r="F35" i="1"/>
  <c r="D35" i="1"/>
  <c r="G35" i="1"/>
  <c r="B35" i="1"/>
  <c r="H35" i="1"/>
  <c r="M35" i="1"/>
  <c r="N35" i="1"/>
  <c r="C35" i="1"/>
  <c r="J36" i="1"/>
  <c r="I36" i="1"/>
  <c r="B36" i="1"/>
  <c r="F36" i="1"/>
  <c r="D36" i="1"/>
  <c r="M36" i="1"/>
  <c r="E36" i="1"/>
  <c r="N36" i="1"/>
  <c r="G36" i="1"/>
  <c r="H36" i="1"/>
  <c r="C36" i="1"/>
  <c r="I37" i="1"/>
  <c r="C37" i="1"/>
  <c r="G37" i="1"/>
  <c r="B37" i="1"/>
  <c r="H37" i="1"/>
  <c r="E37" i="1"/>
  <c r="J37" i="1"/>
  <c r="F37" i="1"/>
  <c r="M37" i="1"/>
  <c r="D37" i="1"/>
  <c r="N37" i="1"/>
  <c r="I38" i="1"/>
  <c r="D38" i="1"/>
  <c r="H38" i="1"/>
  <c r="J38" i="1"/>
  <c r="F38" i="1"/>
  <c r="M38" i="1"/>
  <c r="E38" i="1"/>
  <c r="G38" i="1"/>
  <c r="B38" i="1"/>
  <c r="C38" i="1"/>
  <c r="N38" i="1"/>
  <c r="I39" i="1"/>
  <c r="J39" i="1"/>
  <c r="E39" i="1"/>
  <c r="D39" i="1"/>
  <c r="F39" i="1"/>
  <c r="M39" i="1"/>
  <c r="G39" i="1"/>
  <c r="N39" i="1"/>
  <c r="B39" i="1"/>
  <c r="H39" i="1"/>
  <c r="C39" i="1"/>
  <c r="J40" i="1"/>
  <c r="B40" i="1"/>
  <c r="F40" i="1"/>
  <c r="C40" i="1"/>
  <c r="H40" i="1"/>
  <c r="M40" i="1"/>
  <c r="E40" i="1"/>
  <c r="G40" i="1"/>
  <c r="D40" i="1"/>
  <c r="N40" i="1"/>
  <c r="I40" i="1"/>
  <c r="J41" i="1"/>
  <c r="C41" i="1"/>
  <c r="G41" i="1"/>
  <c r="I41" i="1"/>
  <c r="F41" i="1"/>
  <c r="E41" i="1"/>
  <c r="N41" i="1"/>
  <c r="H41" i="1"/>
  <c r="B41" i="1"/>
  <c r="D41" i="1"/>
  <c r="M41" i="1"/>
  <c r="I42" i="1"/>
  <c r="D42" i="1"/>
  <c r="H42" i="1"/>
  <c r="E42" i="1"/>
  <c r="M42" i="1"/>
  <c r="F42" i="1"/>
  <c r="J42" i="1"/>
  <c r="G42" i="1"/>
  <c r="N42" i="1"/>
  <c r="B42" i="1"/>
  <c r="C42" i="1"/>
  <c r="I43" i="1"/>
  <c r="J43" i="1"/>
  <c r="E43" i="1"/>
  <c r="C43" i="1"/>
  <c r="H43" i="1"/>
  <c r="F43" i="1"/>
  <c r="G43" i="1"/>
  <c r="B43" i="1"/>
  <c r="M43" i="1"/>
  <c r="D43" i="1"/>
  <c r="N43" i="1"/>
  <c r="J44" i="1"/>
  <c r="I44" i="1"/>
  <c r="B44" i="1"/>
  <c r="F44" i="1"/>
  <c r="G44" i="1"/>
  <c r="M44" i="1"/>
  <c r="E44" i="1"/>
  <c r="N44" i="1"/>
  <c r="H44" i="1"/>
  <c r="C44" i="1"/>
  <c r="D44" i="1"/>
  <c r="I45" i="1"/>
  <c r="C45" i="1"/>
  <c r="G45" i="1"/>
  <c r="E45" i="1"/>
  <c r="J45" i="1"/>
  <c r="F45" i="1"/>
  <c r="H45" i="1"/>
  <c r="M45" i="1"/>
  <c r="B45" i="1"/>
  <c r="N45" i="1"/>
  <c r="D45" i="1"/>
  <c r="J46" i="1"/>
  <c r="D46" i="1"/>
  <c r="H46" i="1"/>
  <c r="C46" i="1"/>
  <c r="M46" i="1"/>
  <c r="F46" i="1"/>
  <c r="I46" i="1"/>
  <c r="G46" i="1"/>
  <c r="B46" i="1"/>
  <c r="N46" i="1"/>
  <c r="E46" i="1"/>
  <c r="I47" i="1"/>
  <c r="E47" i="1"/>
  <c r="B47" i="1"/>
  <c r="G47" i="1"/>
  <c r="F47" i="1"/>
  <c r="M47" i="1"/>
  <c r="H47" i="1"/>
  <c r="N47" i="1"/>
  <c r="J47" i="1"/>
  <c r="C47" i="1"/>
  <c r="D47" i="1"/>
  <c r="R3" i="3"/>
  <c r="X3" i="3"/>
  <c r="P3" i="3"/>
  <c r="F17" i="3"/>
  <c r="Z604" i="3"/>
  <c r="Z441" i="3"/>
  <c r="Z15" i="3"/>
  <c r="Z143" i="3"/>
  <c r="Z269" i="3"/>
  <c r="F468" i="3"/>
  <c r="I467" i="3"/>
  <c r="F631" i="3"/>
  <c r="I630" i="3"/>
  <c r="F179" i="3"/>
  <c r="F293" i="3"/>
  <c r="F16" i="3"/>
  <c r="F51" i="3"/>
  <c r="F18" i="3"/>
  <c r="S605" i="3"/>
  <c r="S16" i="3"/>
  <c r="S270" i="3"/>
  <c r="S442" i="3"/>
  <c r="S144" i="3"/>
  <c r="F541" i="3"/>
  <c r="I540" i="3"/>
  <c r="F704" i="3"/>
  <c r="I703" i="3"/>
  <c r="F380" i="3"/>
  <c r="I379" i="3"/>
  <c r="L17" i="3"/>
  <c r="L15" i="3"/>
  <c r="S604" i="3"/>
  <c r="S269" i="3"/>
  <c r="S143" i="3"/>
  <c r="S441" i="3"/>
  <c r="S15" i="3"/>
  <c r="L16" i="3"/>
  <c r="F15" i="3"/>
  <c r="I49" i="1"/>
  <c r="C49" i="1"/>
  <c r="G49" i="1"/>
  <c r="D49" i="1"/>
  <c r="J49" i="1"/>
  <c r="F49" i="1"/>
  <c r="N49" i="1"/>
  <c r="H49" i="1"/>
  <c r="B49" i="1"/>
  <c r="E49" i="1"/>
  <c r="M49" i="1"/>
  <c r="F277" i="3"/>
  <c r="I276" i="3"/>
  <c r="I277" i="3"/>
  <c r="I278" i="3"/>
  <c r="I279" i="3"/>
  <c r="I280" i="3"/>
  <c r="I281" i="3"/>
  <c r="I282" i="3"/>
  <c r="I283" i="3"/>
  <c r="I284" i="3"/>
  <c r="I285" i="3"/>
  <c r="I286" i="3"/>
  <c r="I287" i="3"/>
  <c r="F395" i="3"/>
  <c r="I394" i="3"/>
  <c r="I395" i="3"/>
  <c r="I396" i="3"/>
  <c r="I397" i="3"/>
  <c r="I398" i="3"/>
  <c r="I399" i="3"/>
  <c r="I400" i="3"/>
  <c r="I401" i="3"/>
  <c r="I402" i="3"/>
  <c r="I403" i="3"/>
  <c r="F425" i="3"/>
  <c r="I424" i="3"/>
  <c r="I425" i="3"/>
  <c r="I426" i="3"/>
  <c r="I427" i="3"/>
  <c r="I428" i="3"/>
  <c r="I429" i="3"/>
  <c r="F292" i="3"/>
  <c r="F349" i="3"/>
  <c r="I347" i="3"/>
  <c r="I348" i="3"/>
  <c r="I349" i="3"/>
  <c r="I350" i="3"/>
  <c r="I351" i="3"/>
  <c r="I352" i="3"/>
  <c r="I353" i="3"/>
  <c r="I354" i="3"/>
  <c r="I355" i="3"/>
  <c r="I356" i="3"/>
  <c r="I357" i="3"/>
  <c r="I358" i="3"/>
  <c r="F449" i="3"/>
  <c r="I448" i="3"/>
  <c r="I449" i="3"/>
  <c r="I450" i="3"/>
  <c r="F524" i="3"/>
  <c r="F548" i="3"/>
  <c r="I547" i="3"/>
  <c r="I548" i="3"/>
  <c r="I549" i="3"/>
  <c r="F483" i="3"/>
  <c r="P581" i="3"/>
  <c r="P450" i="3"/>
  <c r="P510" i="3"/>
  <c r="F229" i="3"/>
  <c r="F198" i="3"/>
  <c r="I197" i="3"/>
  <c r="F371" i="3"/>
  <c r="F408" i="3"/>
  <c r="I407" i="3"/>
  <c r="I408" i="3"/>
  <c r="F295" i="3"/>
  <c r="I294" i="3"/>
  <c r="F329" i="3"/>
  <c r="I328" i="3"/>
  <c r="I329" i="3"/>
  <c r="P418" i="3"/>
  <c r="P340" i="3"/>
  <c r="P293" i="3"/>
  <c r="P380" i="3"/>
  <c r="P349" i="3"/>
  <c r="P351" i="3"/>
  <c r="P330" i="3"/>
  <c r="P332" i="3"/>
  <c r="P372" i="3"/>
  <c r="P396" i="3"/>
  <c r="P364" i="3"/>
  <c r="P409" i="3"/>
  <c r="F61" i="3"/>
  <c r="F109" i="3"/>
  <c r="I108" i="3"/>
  <c r="I109" i="3"/>
  <c r="I110" i="3"/>
  <c r="I111" i="3"/>
  <c r="I112" i="3"/>
  <c r="F54" i="3"/>
  <c r="I53" i="3"/>
  <c r="I50" i="3"/>
  <c r="W524" i="3"/>
  <c r="W556" i="3"/>
  <c r="W457" i="3"/>
  <c r="P556" i="3"/>
  <c r="P548" i="3"/>
  <c r="W540" i="3"/>
  <c r="W475" i="3"/>
  <c r="W548" i="3"/>
  <c r="W491" i="3"/>
  <c r="P588" i="3"/>
  <c r="W500" i="3"/>
  <c r="W509" i="3"/>
  <c r="W483" i="3"/>
  <c r="W465" i="3"/>
  <c r="W449" i="3"/>
  <c r="W580" i="3"/>
  <c r="W532" i="3"/>
  <c r="P532" i="3"/>
  <c r="W569" i="3"/>
  <c r="F569" i="3"/>
  <c r="I568" i="3"/>
  <c r="I569" i="3"/>
  <c r="I570" i="3"/>
  <c r="I571" i="3"/>
  <c r="I572" i="3"/>
  <c r="I573" i="3"/>
  <c r="I574" i="3"/>
  <c r="I575" i="3"/>
  <c r="F525" i="3"/>
  <c r="F500" i="3"/>
  <c r="I499" i="3"/>
  <c r="I500" i="3"/>
  <c r="I501" i="3"/>
  <c r="I502" i="3"/>
  <c r="I503" i="3"/>
  <c r="I504" i="3"/>
  <c r="F457" i="3"/>
  <c r="I456" i="3"/>
  <c r="I457" i="3"/>
  <c r="I458" i="3"/>
  <c r="I459" i="3"/>
  <c r="F492" i="3"/>
  <c r="I492" i="3"/>
  <c r="F467" i="3"/>
  <c r="I466" i="3"/>
  <c r="F253" i="3"/>
  <c r="I252" i="3"/>
  <c r="I253" i="3"/>
  <c r="I254" i="3"/>
  <c r="I255" i="3"/>
  <c r="I256" i="3"/>
  <c r="I257" i="3"/>
  <c r="F200" i="3"/>
  <c r="I199" i="3"/>
  <c r="F206" i="3"/>
  <c r="I205" i="3"/>
  <c r="I206" i="3"/>
  <c r="I207" i="3"/>
  <c r="I208" i="3"/>
  <c r="I209" i="3"/>
  <c r="I210" i="3"/>
  <c r="I211" i="3"/>
  <c r="I212" i="3"/>
  <c r="I213" i="3"/>
  <c r="I214" i="3"/>
  <c r="F178" i="3"/>
  <c r="I154" i="3"/>
  <c r="I155" i="3"/>
  <c r="I156" i="3"/>
  <c r="I157" i="3"/>
  <c r="F469" i="3"/>
  <c r="I468" i="3"/>
  <c r="F510" i="3"/>
  <c r="I508" i="3"/>
  <c r="I509" i="3"/>
  <c r="I510" i="3"/>
  <c r="I511" i="3"/>
  <c r="I512" i="3"/>
  <c r="I513" i="3"/>
  <c r="I514" i="3"/>
  <c r="I515" i="3"/>
  <c r="I516" i="3"/>
  <c r="I517" i="3"/>
  <c r="I518" i="3"/>
  <c r="I519" i="3"/>
  <c r="F588" i="3"/>
  <c r="I587" i="3"/>
  <c r="I588" i="3"/>
  <c r="I589" i="3"/>
  <c r="I590" i="3"/>
  <c r="I591" i="3"/>
  <c r="I592" i="3"/>
  <c r="F556" i="3"/>
  <c r="I555" i="3"/>
  <c r="I556" i="3"/>
  <c r="I557" i="3"/>
  <c r="I558" i="3"/>
  <c r="I559" i="3"/>
  <c r="I560" i="3"/>
  <c r="I561" i="3"/>
  <c r="I562" i="3"/>
  <c r="I563" i="3"/>
  <c r="I564" i="3"/>
  <c r="F69" i="3"/>
  <c r="I68" i="3"/>
  <c r="F119" i="3"/>
  <c r="F42" i="3"/>
  <c r="P206" i="3"/>
  <c r="P189" i="3"/>
  <c r="P245" i="3"/>
  <c r="P162" i="3"/>
  <c r="P164" i="3"/>
  <c r="P219" i="3"/>
  <c r="P178" i="3"/>
  <c r="P180" i="3"/>
  <c r="P182" i="3"/>
  <c r="P151" i="3"/>
  <c r="P229" i="3"/>
  <c r="P221" i="3"/>
  <c r="P223" i="3"/>
  <c r="F695" i="3"/>
  <c r="F654" i="3"/>
  <c r="I653" i="3"/>
  <c r="I654" i="3"/>
  <c r="F628" i="3"/>
  <c r="I627" i="3"/>
  <c r="P79" i="3"/>
  <c r="P50" i="3"/>
  <c r="F379" i="3"/>
  <c r="F417" i="3"/>
  <c r="I416" i="3"/>
  <c r="I417" i="3"/>
  <c r="I418" i="3"/>
  <c r="I419" i="3"/>
  <c r="I420" i="3"/>
  <c r="F313" i="3"/>
  <c r="F297" i="3"/>
  <c r="I296" i="3"/>
  <c r="I292" i="3"/>
  <c r="W620" i="3"/>
  <c r="W687" i="3"/>
  <c r="W646" i="3"/>
  <c r="P711" i="3"/>
  <c r="W732" i="3"/>
  <c r="W711" i="3"/>
  <c r="W628" i="3"/>
  <c r="W703" i="3"/>
  <c r="P751" i="3"/>
  <c r="W695" i="3"/>
  <c r="W663" i="3"/>
  <c r="W743" i="3"/>
  <c r="W638" i="3"/>
  <c r="P719" i="3"/>
  <c r="W654" i="3"/>
  <c r="W612" i="3"/>
  <c r="W719" i="3"/>
  <c r="W672" i="3"/>
  <c r="P695" i="3"/>
  <c r="F43" i="3"/>
  <c r="I43" i="3"/>
  <c r="F71" i="3"/>
  <c r="I70" i="3"/>
  <c r="F92" i="3"/>
  <c r="I91" i="3"/>
  <c r="I92" i="3"/>
  <c r="I93" i="3"/>
  <c r="I94" i="3"/>
  <c r="I95" i="3"/>
  <c r="I96" i="3"/>
  <c r="F34" i="3"/>
  <c r="I33" i="3"/>
  <c r="I34" i="3"/>
  <c r="I35" i="3"/>
  <c r="I36" i="3"/>
  <c r="I37" i="3"/>
  <c r="F52" i="3"/>
  <c r="F751" i="3"/>
  <c r="I750" i="3"/>
  <c r="I751" i="3"/>
  <c r="I752" i="3"/>
  <c r="I753" i="3"/>
  <c r="I754" i="3"/>
  <c r="I755" i="3"/>
  <c r="F719" i="3"/>
  <c r="I718" i="3"/>
  <c r="I719" i="3"/>
  <c r="I720" i="3"/>
  <c r="I721" i="3"/>
  <c r="I722" i="3"/>
  <c r="I723" i="3"/>
  <c r="I724" i="3"/>
  <c r="I725" i="3"/>
  <c r="I726" i="3"/>
  <c r="I727" i="3"/>
  <c r="F632" i="3"/>
  <c r="I631" i="3"/>
  <c r="F673" i="3"/>
  <c r="I671" i="3"/>
  <c r="I672" i="3"/>
  <c r="I673" i="3"/>
  <c r="I674" i="3"/>
  <c r="I675" i="3"/>
  <c r="I676" i="3"/>
  <c r="I677" i="3"/>
  <c r="I678" i="3"/>
  <c r="I679" i="3"/>
  <c r="I680" i="3"/>
  <c r="I681" i="3"/>
  <c r="I682" i="3"/>
  <c r="F687" i="3"/>
  <c r="F711" i="3"/>
  <c r="I710" i="3"/>
  <c r="I711" i="3"/>
  <c r="I712" i="3"/>
  <c r="F646" i="3"/>
  <c r="F612" i="3"/>
  <c r="I611" i="3"/>
  <c r="I612" i="3"/>
  <c r="I613" i="3"/>
  <c r="F245" i="3"/>
  <c r="F197" i="3"/>
  <c r="I196" i="3"/>
  <c r="F170" i="3"/>
  <c r="P314" i="3"/>
  <c r="P278" i="3"/>
  <c r="P305" i="3"/>
  <c r="F70" i="3"/>
  <c r="I69" i="3"/>
  <c r="F101" i="3"/>
  <c r="P237" i="3"/>
  <c r="P170" i="3"/>
  <c r="P197" i="3"/>
  <c r="P688" i="3"/>
  <c r="P639" i="3"/>
  <c r="P621" i="3"/>
  <c r="P704" i="3"/>
  <c r="P733" i="3"/>
  <c r="P655" i="3"/>
  <c r="F237" i="3"/>
  <c r="I236" i="3"/>
  <c r="I237" i="3"/>
  <c r="I238" i="3"/>
  <c r="I239" i="3"/>
  <c r="I240" i="3"/>
  <c r="F189" i="3"/>
  <c r="I178" i="3"/>
  <c r="F182" i="3"/>
  <c r="I181" i="3"/>
  <c r="F171" i="3"/>
  <c r="I171" i="3"/>
  <c r="F199" i="3"/>
  <c r="I198" i="3"/>
  <c r="F219" i="3"/>
  <c r="I218" i="3"/>
  <c r="I219" i="3"/>
  <c r="I220" i="3"/>
  <c r="F180" i="3"/>
  <c r="F162" i="3"/>
  <c r="I161" i="3"/>
  <c r="I162" i="3"/>
  <c r="I163" i="3"/>
  <c r="I164" i="3"/>
  <c r="I165" i="3"/>
  <c r="F409" i="3"/>
  <c r="I409" i="3"/>
  <c r="I410" i="3"/>
  <c r="I411" i="3"/>
  <c r="I412" i="3"/>
  <c r="F330" i="3"/>
  <c r="I330" i="3"/>
  <c r="F294" i="3"/>
  <c r="F339" i="3"/>
  <c r="I338" i="3"/>
  <c r="I339" i="3"/>
  <c r="I340" i="3"/>
  <c r="I341" i="3"/>
  <c r="I342" i="3"/>
  <c r="I343" i="3"/>
  <c r="F304" i="3"/>
  <c r="I303" i="3"/>
  <c r="I304" i="3"/>
  <c r="I305" i="3"/>
  <c r="I306" i="3"/>
  <c r="I307" i="3"/>
  <c r="I308" i="3"/>
  <c r="F364" i="3"/>
  <c r="F127" i="3"/>
  <c r="I126" i="3"/>
  <c r="I127" i="3"/>
  <c r="I128" i="3"/>
  <c r="I129" i="3"/>
  <c r="I130" i="3"/>
  <c r="I131" i="3"/>
  <c r="F50" i="3"/>
  <c r="F23" i="3"/>
  <c r="I22" i="3"/>
  <c r="I23" i="3"/>
  <c r="I24" i="3"/>
  <c r="I25" i="3"/>
  <c r="I26" i="3"/>
  <c r="I27" i="3"/>
  <c r="I28" i="3"/>
  <c r="I29" i="3"/>
  <c r="F72" i="3"/>
  <c r="I71" i="3"/>
  <c r="F79" i="3"/>
  <c r="I78" i="3"/>
  <c r="I79" i="3"/>
  <c r="I80" i="3"/>
  <c r="I81" i="3"/>
  <c r="I82" i="3"/>
  <c r="I83" i="3"/>
  <c r="I84" i="3"/>
  <c r="I85" i="3"/>
  <c r="I86" i="3"/>
  <c r="I87" i="3"/>
  <c r="F387" i="3"/>
  <c r="I386" i="3"/>
  <c r="I387" i="3"/>
  <c r="I388" i="3"/>
  <c r="F321" i="3"/>
  <c r="F363" i="3"/>
  <c r="P109" i="3"/>
  <c r="P111" i="3"/>
  <c r="P113" i="3"/>
  <c r="P92" i="3"/>
  <c r="P42" i="3"/>
  <c r="P23" i="3"/>
  <c r="P94" i="3"/>
  <c r="P101" i="3"/>
  <c r="P69" i="3"/>
  <c r="P71" i="3"/>
  <c r="P73" i="3"/>
  <c r="P44" i="3"/>
  <c r="P61" i="3"/>
  <c r="P34" i="3"/>
  <c r="P119" i="3"/>
  <c r="P647" i="3"/>
  <c r="P673" i="3"/>
  <c r="P744" i="3"/>
  <c r="P613" i="3"/>
  <c r="F465" i="3"/>
  <c r="I464" i="3"/>
  <c r="F532" i="3"/>
  <c r="F491" i="3"/>
  <c r="I490" i="3"/>
  <c r="I491" i="3"/>
  <c r="P541" i="3"/>
  <c r="P492" i="3"/>
  <c r="P525" i="3"/>
  <c r="P476" i="3"/>
  <c r="P570" i="3"/>
  <c r="P484" i="3"/>
  <c r="P458" i="3"/>
  <c r="F703" i="3"/>
  <c r="F629" i="3"/>
  <c r="I628" i="3"/>
  <c r="F743" i="3"/>
  <c r="I742" i="3"/>
  <c r="I743" i="3"/>
  <c r="I744" i="3"/>
  <c r="I745" i="3"/>
  <c r="I746" i="3"/>
  <c r="F638" i="3"/>
  <c r="F580" i="3"/>
  <c r="I579" i="3"/>
  <c r="I580" i="3"/>
  <c r="I581" i="3"/>
  <c r="I582" i="3"/>
  <c r="I583" i="3"/>
  <c r="F466" i="3"/>
  <c r="I465" i="3"/>
  <c r="F475" i="3"/>
  <c r="F540" i="3"/>
  <c r="F663" i="3"/>
  <c r="I662" i="3"/>
  <c r="I663" i="3"/>
  <c r="I664" i="3"/>
  <c r="I665" i="3"/>
  <c r="I666" i="3"/>
  <c r="I667" i="3"/>
  <c r="F688" i="3"/>
  <c r="F655" i="3"/>
  <c r="I655" i="3"/>
  <c r="F620" i="3"/>
  <c r="I619" i="3"/>
  <c r="I620" i="3"/>
  <c r="I621" i="3"/>
  <c r="I622" i="3"/>
  <c r="F732" i="3"/>
  <c r="I731" i="3"/>
  <c r="I732" i="3"/>
  <c r="I733" i="3"/>
  <c r="I734" i="3"/>
  <c r="I735" i="3"/>
  <c r="I736" i="3"/>
  <c r="I737" i="3"/>
  <c r="I738" i="3"/>
  <c r="F630" i="3"/>
  <c r="I629" i="3"/>
  <c r="J50" i="1"/>
  <c r="D50" i="1"/>
  <c r="H50" i="1"/>
  <c r="B50" i="1"/>
  <c r="G50" i="1"/>
  <c r="M50" i="1"/>
  <c r="F50" i="1"/>
  <c r="I50" i="1"/>
  <c r="N50" i="1"/>
  <c r="C50" i="1"/>
  <c r="E50" i="1"/>
  <c r="I689" i="3"/>
  <c r="I688" i="3"/>
  <c r="I322" i="3"/>
  <c r="I320" i="3"/>
  <c r="I321" i="3"/>
  <c r="I190" i="3"/>
  <c r="I189" i="3"/>
  <c r="I191" i="3"/>
  <c r="I188" i="3"/>
  <c r="I169" i="3"/>
  <c r="I170" i="3"/>
  <c r="I645" i="3"/>
  <c r="I647" i="3"/>
  <c r="I646" i="3"/>
  <c r="I695" i="3"/>
  <c r="I696" i="3"/>
  <c r="I697" i="3"/>
  <c r="I694" i="3"/>
  <c r="I371" i="3"/>
  <c r="I372" i="3"/>
  <c r="I373" i="3"/>
  <c r="I370" i="3"/>
  <c r="I523" i="3"/>
  <c r="I524" i="3"/>
  <c r="I702" i="3"/>
  <c r="F705" i="3"/>
  <c r="I704" i="3"/>
  <c r="I705" i="3"/>
  <c r="F55" i="3"/>
  <c r="I54" i="3"/>
  <c r="I49" i="3"/>
  <c r="I312" i="3"/>
  <c r="I315" i="3"/>
  <c r="I316" i="3"/>
  <c r="I313" i="3"/>
  <c r="I314" i="3"/>
  <c r="I539" i="3"/>
  <c r="F542" i="3"/>
  <c r="I541" i="3"/>
  <c r="I542" i="3"/>
  <c r="I638" i="3"/>
  <c r="I640" i="3"/>
  <c r="I641" i="3"/>
  <c r="I639" i="3"/>
  <c r="I637" i="3"/>
  <c r="I531" i="3"/>
  <c r="I532" i="3"/>
  <c r="I533" i="3"/>
  <c r="I534" i="3"/>
  <c r="F296" i="3"/>
  <c r="I295" i="3"/>
  <c r="I293" i="3"/>
  <c r="F181" i="3"/>
  <c r="I180" i="3"/>
  <c r="I179" i="3"/>
  <c r="I245" i="3"/>
  <c r="I246" i="3"/>
  <c r="I244" i="3"/>
  <c r="I687" i="3"/>
  <c r="I686" i="3"/>
  <c r="I42" i="3"/>
  <c r="I41" i="3"/>
  <c r="I177" i="3"/>
  <c r="F183" i="3"/>
  <c r="I182" i="3"/>
  <c r="I525" i="3"/>
  <c r="I526" i="3"/>
  <c r="I63" i="3"/>
  <c r="I60" i="3"/>
  <c r="I61" i="3"/>
  <c r="I62" i="3"/>
  <c r="I230" i="3"/>
  <c r="I228" i="3"/>
  <c r="I231" i="3"/>
  <c r="I229" i="3"/>
  <c r="I482" i="3"/>
  <c r="I483" i="3"/>
  <c r="I484" i="3"/>
  <c r="I657" i="3"/>
  <c r="I656" i="3"/>
  <c r="I658" i="3"/>
  <c r="I477" i="3"/>
  <c r="I478" i="3"/>
  <c r="I476" i="3"/>
  <c r="I474" i="3"/>
  <c r="I475" i="3"/>
  <c r="I363" i="3"/>
  <c r="I362" i="3"/>
  <c r="I364" i="3"/>
  <c r="I365" i="3"/>
  <c r="I332" i="3"/>
  <c r="I331" i="3"/>
  <c r="I333" i="3"/>
  <c r="I221" i="3"/>
  <c r="I222" i="3"/>
  <c r="I223" i="3"/>
  <c r="I103" i="3"/>
  <c r="I102" i="3"/>
  <c r="I100" i="3"/>
  <c r="I101" i="3"/>
  <c r="I51" i="3"/>
  <c r="F53" i="3"/>
  <c r="I52" i="3"/>
  <c r="F381" i="3"/>
  <c r="I380" i="3"/>
  <c r="I381" i="3"/>
  <c r="I378" i="3"/>
  <c r="I119" i="3"/>
  <c r="I120" i="3"/>
  <c r="I118" i="3"/>
  <c r="I494" i="3"/>
  <c r="I493" i="3"/>
  <c r="I495" i="3"/>
  <c r="I291" i="3"/>
  <c r="F298" i="3"/>
  <c r="I297" i="3"/>
  <c r="I51" i="1"/>
  <c r="J51" i="1"/>
  <c r="E51" i="1"/>
  <c r="F51" i="1"/>
  <c r="G51" i="1"/>
  <c r="B51" i="1"/>
  <c r="H51" i="1"/>
  <c r="C51" i="1"/>
  <c r="M51" i="1"/>
  <c r="N51" i="1"/>
  <c r="D51" i="1"/>
  <c r="J52" i="1"/>
  <c r="I52" i="1"/>
  <c r="B52" i="1"/>
  <c r="F52" i="1"/>
  <c r="D52" i="1"/>
  <c r="M52" i="1"/>
  <c r="G52" i="1"/>
  <c r="N52" i="1"/>
  <c r="H52" i="1"/>
  <c r="C52" i="1"/>
  <c r="E52" i="1"/>
  <c r="J53" i="1"/>
  <c r="C53" i="1"/>
  <c r="G53" i="1"/>
  <c r="B53" i="1"/>
  <c r="H53" i="1"/>
  <c r="I53" i="1"/>
  <c r="F53" i="1"/>
  <c r="M53" i="1"/>
  <c r="D53" i="1"/>
  <c r="E53" i="1"/>
  <c r="N53" i="1"/>
  <c r="I54" i="1"/>
  <c r="D54" i="1"/>
  <c r="H54" i="1"/>
  <c r="J54" i="1"/>
  <c r="F54" i="1"/>
  <c r="M54" i="1"/>
  <c r="G54" i="1"/>
  <c r="B54" i="1"/>
  <c r="C54" i="1"/>
  <c r="E54" i="1"/>
  <c r="N54" i="1"/>
  <c r="I55" i="1"/>
  <c r="E55" i="1"/>
  <c r="D55" i="1"/>
  <c r="G55" i="1"/>
  <c r="M55" i="1"/>
  <c r="B55" i="1"/>
  <c r="H55" i="1"/>
  <c r="N55" i="1"/>
  <c r="J55" i="1"/>
  <c r="C55" i="1"/>
  <c r="F55" i="1"/>
  <c r="J56" i="1"/>
  <c r="I56" i="1"/>
  <c r="B56" i="1"/>
  <c r="F56" i="1"/>
  <c r="C56" i="1"/>
  <c r="H56" i="1"/>
  <c r="M56" i="1"/>
  <c r="G56" i="1"/>
  <c r="D56" i="1"/>
  <c r="E56" i="1"/>
  <c r="N56" i="1"/>
  <c r="J57" i="1"/>
  <c r="C57" i="1"/>
  <c r="G57" i="1"/>
  <c r="I57" i="1"/>
  <c r="F57" i="1"/>
  <c r="H57" i="1"/>
  <c r="N57" i="1"/>
  <c r="B57" i="1"/>
  <c r="D57" i="1"/>
  <c r="E57" i="1"/>
  <c r="M57" i="1"/>
  <c r="J58" i="1"/>
  <c r="D58" i="1"/>
  <c r="H58" i="1"/>
  <c r="E58" i="1"/>
  <c r="M58" i="1"/>
  <c r="I58" i="1"/>
  <c r="G58" i="1"/>
  <c r="B58" i="1"/>
  <c r="N58" i="1"/>
  <c r="C58" i="1"/>
  <c r="F58" i="1"/>
  <c r="I59" i="1"/>
  <c r="J59" i="1"/>
  <c r="E59" i="1"/>
  <c r="C59" i="1"/>
  <c r="H59" i="1"/>
  <c r="G59" i="1"/>
  <c r="B59" i="1"/>
  <c r="D59" i="1"/>
  <c r="M59" i="1"/>
  <c r="F59" i="1"/>
  <c r="N59" i="1"/>
  <c r="J60" i="1"/>
  <c r="B60" i="1"/>
  <c r="F60" i="1"/>
  <c r="I60" i="1"/>
  <c r="G60" i="1"/>
  <c r="M60" i="1"/>
  <c r="H60" i="1"/>
  <c r="N60" i="1"/>
  <c r="C60" i="1"/>
  <c r="D60" i="1"/>
  <c r="E60" i="1"/>
  <c r="I61" i="1"/>
  <c r="C61" i="1"/>
  <c r="G61" i="1"/>
  <c r="E61" i="1"/>
  <c r="H61" i="1"/>
  <c r="B61" i="1"/>
  <c r="M61" i="1"/>
  <c r="D61" i="1"/>
  <c r="J61" i="1"/>
  <c r="N61" i="1"/>
  <c r="F61" i="1"/>
  <c r="D62" i="1"/>
  <c r="H62" i="1"/>
  <c r="C62" i="1"/>
  <c r="M62" i="1"/>
  <c r="I62" i="1"/>
  <c r="G62" i="1"/>
  <c r="J62" i="1"/>
  <c r="B62" i="1"/>
  <c r="E62" i="1"/>
  <c r="N62" i="1"/>
  <c r="F62" i="1"/>
  <c r="I63" i="1"/>
  <c r="J63" i="1"/>
  <c r="E63" i="1"/>
  <c r="B63" i="1"/>
  <c r="G63" i="1"/>
  <c r="H63" i="1"/>
  <c r="M63" i="1"/>
  <c r="C63" i="1"/>
  <c r="N63" i="1"/>
  <c r="D63" i="1"/>
  <c r="F63" i="1"/>
  <c r="J64" i="1"/>
  <c r="B64" i="1"/>
  <c r="F64" i="1"/>
  <c r="E64" i="1"/>
  <c r="M64" i="1"/>
  <c r="H64" i="1"/>
  <c r="C64" i="1"/>
  <c r="I64" i="1"/>
  <c r="D64" i="1"/>
  <c r="G64" i="1"/>
  <c r="N64" i="1"/>
  <c r="J65" i="1"/>
  <c r="C65" i="1"/>
  <c r="G65" i="1"/>
  <c r="D65" i="1"/>
  <c r="H65" i="1"/>
  <c r="N65" i="1"/>
  <c r="B65" i="1"/>
  <c r="E65" i="1"/>
  <c r="I65" i="1"/>
  <c r="F65" i="1"/>
  <c r="M65" i="1"/>
  <c r="J66" i="1"/>
  <c r="B66" i="1"/>
  <c r="F66" i="1"/>
  <c r="M66" i="1"/>
  <c r="I66" i="1"/>
  <c r="G66" i="1"/>
  <c r="C66" i="1"/>
  <c r="H66" i="1"/>
  <c r="N66" i="1"/>
  <c r="D66" i="1"/>
  <c r="E66" i="1"/>
  <c r="I67" i="1"/>
  <c r="C67" i="1"/>
  <c r="G67" i="1"/>
  <c r="E67" i="1"/>
  <c r="J67" i="1"/>
  <c r="F67" i="1"/>
  <c r="B67" i="1"/>
  <c r="H67" i="1"/>
  <c r="M67" i="1"/>
  <c r="N67" i="1"/>
  <c r="D67" i="1"/>
  <c r="J68" i="1"/>
  <c r="I68" i="1"/>
  <c r="D68" i="1"/>
  <c r="H68" i="1"/>
  <c r="M68" i="1"/>
  <c r="C68" i="1"/>
  <c r="N68" i="1"/>
  <c r="E68" i="1"/>
  <c r="F68" i="1"/>
  <c r="B68" i="1"/>
  <c r="G68" i="1"/>
  <c r="J69" i="1"/>
  <c r="E69" i="1"/>
  <c r="B69" i="1"/>
  <c r="G69" i="1"/>
  <c r="C69" i="1"/>
  <c r="H69" i="1"/>
  <c r="M69" i="1"/>
  <c r="D69" i="1"/>
  <c r="I69" i="1"/>
  <c r="F69" i="1"/>
  <c r="N69" i="1"/>
  <c r="I70" i="1"/>
  <c r="J70" i="1"/>
  <c r="B70" i="1"/>
  <c r="F70" i="1"/>
  <c r="M70" i="1"/>
  <c r="E70" i="1"/>
  <c r="G70" i="1"/>
  <c r="C70" i="1"/>
  <c r="H70" i="1"/>
  <c r="D70" i="1"/>
  <c r="N70" i="1"/>
  <c r="I71" i="1"/>
  <c r="C71" i="1"/>
  <c r="G71" i="1"/>
  <c r="D71" i="1"/>
  <c r="M71" i="1"/>
  <c r="J71" i="1"/>
  <c r="E71" i="1"/>
  <c r="N71" i="1"/>
  <c r="F71" i="1"/>
  <c r="B71" i="1"/>
  <c r="H71" i="1"/>
  <c r="J72" i="1"/>
  <c r="D72" i="1"/>
  <c r="H72" i="1"/>
  <c r="M72" i="1"/>
  <c r="B72" i="1"/>
  <c r="G72" i="1"/>
  <c r="C72" i="1"/>
  <c r="I72" i="1"/>
  <c r="E72" i="1"/>
  <c r="N72" i="1"/>
  <c r="F72" i="1"/>
  <c r="J73" i="1"/>
  <c r="I73" i="1"/>
  <c r="E73" i="1"/>
  <c r="F73" i="1"/>
  <c r="N73" i="1"/>
  <c r="B73" i="1"/>
  <c r="G73" i="1"/>
  <c r="C73" i="1"/>
  <c r="H73" i="1"/>
  <c r="M73" i="1"/>
  <c r="D73" i="1"/>
  <c r="B74" i="1"/>
  <c r="F74" i="1"/>
  <c r="M74" i="1"/>
  <c r="J74" i="1"/>
  <c r="D74" i="1"/>
  <c r="E74" i="1"/>
  <c r="N74" i="1"/>
  <c r="G74" i="1"/>
  <c r="C74" i="1"/>
  <c r="H74" i="1"/>
  <c r="I74" i="1"/>
  <c r="I75" i="1"/>
  <c r="J75" i="1"/>
  <c r="C75" i="1"/>
  <c r="G75" i="1"/>
  <c r="B75" i="1"/>
  <c r="H75" i="1"/>
  <c r="D75" i="1"/>
  <c r="E75" i="1"/>
  <c r="F75" i="1"/>
  <c r="M75" i="1"/>
  <c r="N75" i="1"/>
  <c r="J76" i="1"/>
  <c r="I76" i="1"/>
  <c r="D76" i="1"/>
  <c r="H76" i="1"/>
  <c r="M76" i="1"/>
  <c r="F76" i="1"/>
  <c r="N76" i="1"/>
  <c r="B76" i="1"/>
  <c r="G76" i="1"/>
  <c r="C76" i="1"/>
  <c r="E76" i="1"/>
  <c r="I77" i="1"/>
  <c r="J77" i="1"/>
  <c r="E77" i="1"/>
  <c r="D77" i="1"/>
  <c r="F77" i="1"/>
  <c r="M77" i="1"/>
  <c r="B77" i="1"/>
  <c r="G77" i="1"/>
  <c r="C77" i="1"/>
  <c r="N77" i="1"/>
  <c r="H77" i="1"/>
  <c r="B78" i="1"/>
  <c r="F78" i="1"/>
  <c r="M78" i="1"/>
  <c r="J78" i="1"/>
  <c r="C78" i="1"/>
  <c r="H78" i="1"/>
  <c r="D78" i="1"/>
  <c r="E78" i="1"/>
  <c r="I78" i="1"/>
  <c r="N78" i="1"/>
  <c r="G78" i="1"/>
  <c r="I79" i="1"/>
  <c r="J79" i="1"/>
  <c r="C79" i="1"/>
  <c r="G79" i="1"/>
  <c r="F79" i="1"/>
  <c r="M79" i="1"/>
  <c r="B79" i="1"/>
  <c r="H79" i="1"/>
  <c r="N79" i="1"/>
  <c r="D79" i="1"/>
  <c r="E79" i="1"/>
  <c r="J80" i="1"/>
  <c r="D80" i="1"/>
  <c r="H80" i="1"/>
  <c r="M80" i="1"/>
  <c r="E80" i="1"/>
  <c r="I80" i="1"/>
  <c r="F80" i="1"/>
  <c r="B80" i="1"/>
  <c r="G80" i="1"/>
  <c r="C80" i="1"/>
  <c r="N80" i="1"/>
  <c r="E81" i="1"/>
  <c r="C81" i="1"/>
  <c r="H81" i="1"/>
  <c r="N81" i="1"/>
  <c r="D81" i="1"/>
  <c r="I81" i="1"/>
  <c r="F81" i="1"/>
  <c r="J81" i="1"/>
  <c r="B81" i="1"/>
  <c r="G81" i="1"/>
  <c r="M81" i="1"/>
  <c r="J82" i="1"/>
  <c r="I82" i="1"/>
  <c r="B82" i="1"/>
  <c r="F82" i="1"/>
  <c r="M82" i="1"/>
  <c r="G82" i="1"/>
  <c r="C82" i="1"/>
  <c r="H82" i="1"/>
  <c r="N82" i="1"/>
  <c r="D82" i="1"/>
  <c r="E82" i="1"/>
  <c r="I83" i="1"/>
  <c r="C83" i="1"/>
  <c r="G83" i="1"/>
  <c r="J83" i="1"/>
  <c r="E83" i="1"/>
  <c r="F83" i="1"/>
  <c r="B83" i="1"/>
  <c r="H83" i="1"/>
  <c r="D83" i="1"/>
  <c r="M83" i="1"/>
  <c r="N83" i="1"/>
  <c r="J84" i="1"/>
  <c r="I84" i="1"/>
  <c r="D84" i="1"/>
  <c r="H84" i="1"/>
  <c r="M84" i="1"/>
  <c r="C84" i="1"/>
  <c r="N84" i="1"/>
  <c r="E84" i="1"/>
  <c r="F84" i="1"/>
  <c r="B84" i="1"/>
  <c r="G84" i="1"/>
  <c r="J85" i="1"/>
  <c r="E85" i="1"/>
  <c r="B85" i="1"/>
  <c r="G85" i="1"/>
  <c r="C85" i="1"/>
  <c r="H85" i="1"/>
  <c r="M85" i="1"/>
  <c r="I85" i="1"/>
  <c r="D85" i="1"/>
  <c r="N85" i="1"/>
  <c r="F85" i="1"/>
  <c r="I86" i="1"/>
  <c r="B86" i="1"/>
  <c r="F86" i="1"/>
  <c r="M86" i="1"/>
  <c r="E86" i="1"/>
  <c r="G86" i="1"/>
  <c r="C86" i="1"/>
  <c r="H86" i="1"/>
  <c r="D86" i="1"/>
  <c r="J86" i="1"/>
  <c r="N86" i="1"/>
  <c r="I87" i="1"/>
  <c r="C87" i="1"/>
  <c r="G87" i="1"/>
  <c r="J87" i="1"/>
  <c r="D87" i="1"/>
  <c r="M87" i="1"/>
  <c r="E87" i="1"/>
  <c r="N87" i="1"/>
  <c r="F87" i="1"/>
  <c r="B87" i="1"/>
  <c r="H87" i="1"/>
  <c r="J88" i="1"/>
  <c r="D88" i="1"/>
  <c r="H88" i="1"/>
  <c r="M88" i="1"/>
  <c r="B88" i="1"/>
  <c r="G88" i="1"/>
  <c r="I88" i="1"/>
  <c r="C88" i="1"/>
  <c r="E88" i="1"/>
  <c r="N88" i="1"/>
  <c r="F88" i="1"/>
  <c r="J89" i="1"/>
  <c r="I89" i="1"/>
  <c r="E89" i="1"/>
  <c r="F89" i="1"/>
  <c r="N89" i="1"/>
  <c r="B89" i="1"/>
  <c r="G89" i="1"/>
  <c r="C89" i="1"/>
  <c r="H89" i="1"/>
  <c r="D89" i="1"/>
  <c r="M89" i="1"/>
  <c r="B90" i="1"/>
  <c r="F90" i="1"/>
  <c r="M90" i="1"/>
  <c r="D90" i="1"/>
  <c r="E90" i="1"/>
  <c r="N90" i="1"/>
  <c r="I90" i="1"/>
  <c r="G90" i="1"/>
  <c r="C90" i="1"/>
  <c r="H90" i="1"/>
  <c r="J90" i="1"/>
  <c r="I91" i="1"/>
  <c r="J91" i="1"/>
  <c r="C91" i="1"/>
  <c r="G91" i="1"/>
  <c r="B91" i="1"/>
  <c r="H91" i="1"/>
  <c r="D91" i="1"/>
  <c r="E91" i="1"/>
  <c r="M91" i="1"/>
  <c r="F91" i="1"/>
  <c r="N91" i="1"/>
  <c r="J92" i="1"/>
  <c r="I92" i="1"/>
  <c r="D92" i="1"/>
  <c r="H92" i="1"/>
  <c r="M92" i="1"/>
  <c r="F92" i="1"/>
  <c r="N92" i="1"/>
  <c r="B92" i="1"/>
  <c r="G92" i="1"/>
  <c r="C92" i="1"/>
  <c r="E92" i="1"/>
  <c r="I93" i="1"/>
  <c r="E93" i="1"/>
  <c r="D93" i="1"/>
  <c r="F93" i="1"/>
  <c r="M93" i="1"/>
  <c r="J93" i="1"/>
  <c r="B93" i="1"/>
  <c r="G93" i="1"/>
  <c r="N93" i="1"/>
  <c r="C93" i="1"/>
  <c r="H93" i="1"/>
  <c r="I94" i="1"/>
  <c r="B94" i="1"/>
  <c r="F94" i="1"/>
  <c r="M94" i="1"/>
  <c r="C94" i="1"/>
  <c r="H94" i="1"/>
  <c r="D94" i="1"/>
  <c r="E94" i="1"/>
  <c r="J94" i="1"/>
  <c r="N94" i="1"/>
  <c r="G94" i="1"/>
  <c r="I95" i="1"/>
  <c r="J95" i="1"/>
  <c r="C95" i="1"/>
  <c r="G95" i="1"/>
  <c r="F95" i="1"/>
  <c r="M95" i="1"/>
  <c r="B95" i="1"/>
  <c r="H95" i="1"/>
  <c r="N95" i="1"/>
  <c r="D95" i="1"/>
  <c r="E95" i="1"/>
  <c r="J96" i="1"/>
  <c r="I96" i="1"/>
  <c r="D96" i="1"/>
  <c r="H96" i="1"/>
  <c r="M96" i="1"/>
  <c r="E96" i="1"/>
  <c r="F96" i="1"/>
  <c r="B96" i="1"/>
  <c r="G96" i="1"/>
  <c r="C96" i="1"/>
  <c r="N96" i="1"/>
  <c r="E97" i="1"/>
  <c r="C97" i="1"/>
  <c r="H97" i="1"/>
  <c r="N97" i="1"/>
  <c r="I97" i="1"/>
  <c r="D97" i="1"/>
  <c r="J97" i="1"/>
  <c r="F97" i="1"/>
  <c r="B97" i="1"/>
  <c r="G97" i="1"/>
  <c r="M97" i="1"/>
  <c r="J98" i="1"/>
  <c r="I98" i="1"/>
  <c r="B98" i="1"/>
  <c r="F98" i="1"/>
  <c r="M98" i="1"/>
  <c r="G98" i="1"/>
  <c r="C98" i="1"/>
  <c r="H98" i="1"/>
  <c r="N98" i="1"/>
  <c r="D98" i="1"/>
  <c r="E98" i="1"/>
  <c r="I99" i="1"/>
  <c r="C99" i="1"/>
  <c r="G99" i="1"/>
  <c r="E99" i="1"/>
  <c r="F99" i="1"/>
  <c r="B99" i="1"/>
  <c r="H99" i="1"/>
  <c r="M99" i="1"/>
  <c r="J99" i="1"/>
  <c r="D99" i="1"/>
  <c r="N99" i="1"/>
  <c r="J100" i="1"/>
  <c r="I100" i="1"/>
  <c r="D100" i="1"/>
  <c r="H100" i="1"/>
  <c r="M100" i="1"/>
  <c r="C100" i="1"/>
  <c r="N100" i="1"/>
  <c r="E100" i="1"/>
  <c r="F100" i="1"/>
  <c r="B100" i="1"/>
  <c r="G100" i="1"/>
  <c r="I101" i="1"/>
  <c r="J101" i="1"/>
  <c r="E101" i="1"/>
  <c r="B101" i="1"/>
  <c r="G101" i="1"/>
  <c r="C101" i="1"/>
  <c r="H101" i="1"/>
  <c r="M101" i="1"/>
  <c r="D101" i="1"/>
  <c r="F101" i="1"/>
  <c r="N101" i="1"/>
  <c r="I102" i="1"/>
  <c r="B102" i="1"/>
  <c r="F102" i="1"/>
  <c r="M102" i="1"/>
  <c r="E102" i="1"/>
  <c r="G102" i="1"/>
  <c r="J102" i="1"/>
  <c r="C102" i="1"/>
  <c r="H102" i="1"/>
  <c r="D102" i="1"/>
  <c r="N102" i="1"/>
  <c r="I103" i="1"/>
  <c r="J103" i="1"/>
  <c r="C103" i="1"/>
  <c r="G103" i="1"/>
  <c r="D103" i="1"/>
  <c r="M103" i="1"/>
  <c r="E103" i="1"/>
  <c r="N103" i="1"/>
  <c r="F103" i="1"/>
  <c r="B103" i="1"/>
  <c r="H103" i="1"/>
  <c r="J104" i="1"/>
  <c r="D104" i="1"/>
  <c r="H104" i="1"/>
  <c r="M104" i="1"/>
  <c r="I104" i="1"/>
  <c r="B104" i="1"/>
  <c r="G104" i="1"/>
  <c r="C104" i="1"/>
  <c r="E104" i="1"/>
  <c r="F104" i="1"/>
  <c r="N104" i="1"/>
  <c r="J105" i="1"/>
  <c r="E105" i="1"/>
  <c r="F105" i="1"/>
  <c r="N105" i="1"/>
  <c r="I105" i="1"/>
  <c r="B105" i="1"/>
  <c r="G105" i="1"/>
  <c r="C105" i="1"/>
  <c r="H105" i="1"/>
  <c r="D105" i="1"/>
  <c r="M105" i="1"/>
  <c r="I106" i="1"/>
  <c r="B106" i="1"/>
  <c r="F106" i="1"/>
  <c r="M106" i="1"/>
  <c r="D106" i="1"/>
  <c r="E106" i="1"/>
  <c r="N106" i="1"/>
  <c r="J106" i="1"/>
  <c r="G106" i="1"/>
  <c r="C106" i="1"/>
  <c r="H106" i="1"/>
  <c r="I107" i="1"/>
  <c r="J107" i="1"/>
  <c r="C107" i="1"/>
  <c r="G107" i="1"/>
  <c r="B107" i="1"/>
  <c r="H107" i="1"/>
  <c r="D107" i="1"/>
  <c r="E107" i="1"/>
  <c r="F107" i="1"/>
  <c r="M107" i="1"/>
  <c r="N107" i="1"/>
  <c r="J108" i="1"/>
  <c r="I108" i="1"/>
  <c r="D108" i="1"/>
  <c r="H108" i="1"/>
  <c r="M108" i="1"/>
  <c r="F108" i="1"/>
  <c r="N108" i="1"/>
  <c r="B108" i="1"/>
  <c r="G108" i="1"/>
  <c r="C108" i="1"/>
  <c r="E108" i="1"/>
  <c r="I109" i="1"/>
  <c r="E109" i="1"/>
  <c r="D109" i="1"/>
  <c r="J109" i="1"/>
  <c r="F109" i="1"/>
  <c r="M109" i="1"/>
  <c r="B109" i="1"/>
  <c r="G109" i="1"/>
  <c r="N109" i="1"/>
  <c r="C109" i="1"/>
  <c r="H109" i="1"/>
  <c r="J110" i="1"/>
  <c r="B110" i="1"/>
  <c r="F110" i="1"/>
  <c r="M110" i="1"/>
  <c r="C110" i="1"/>
  <c r="H110" i="1"/>
  <c r="D110" i="1"/>
  <c r="I110" i="1"/>
  <c r="E110" i="1"/>
  <c r="G110" i="1"/>
  <c r="N110" i="1"/>
  <c r="I111" i="1"/>
  <c r="J111" i="1"/>
  <c r="C111" i="1"/>
  <c r="G111" i="1"/>
  <c r="F111" i="1"/>
  <c r="M111" i="1"/>
  <c r="B111" i="1"/>
  <c r="H111" i="1"/>
  <c r="N111" i="1"/>
  <c r="D111" i="1"/>
  <c r="E111" i="1"/>
  <c r="J112" i="1"/>
  <c r="D112" i="1"/>
  <c r="H112" i="1"/>
  <c r="M112" i="1"/>
  <c r="I112" i="1"/>
  <c r="E112" i="1"/>
  <c r="F112" i="1"/>
  <c r="B112" i="1"/>
  <c r="G112" i="1"/>
  <c r="C112" i="1"/>
  <c r="N112" i="1"/>
  <c r="I113" i="1"/>
  <c r="E113" i="1"/>
  <c r="C113" i="1"/>
  <c r="H113" i="1"/>
  <c r="N113" i="1"/>
  <c r="J113" i="1"/>
  <c r="D113" i="1"/>
  <c r="F113" i="1"/>
  <c r="G113" i="1"/>
  <c r="B113" i="1"/>
  <c r="M113" i="1"/>
  <c r="J114" i="1"/>
  <c r="I114" i="1"/>
  <c r="B114" i="1"/>
  <c r="F114" i="1"/>
  <c r="M114" i="1"/>
  <c r="G114" i="1"/>
  <c r="C114" i="1"/>
  <c r="H114" i="1"/>
  <c r="N114" i="1"/>
  <c r="D114" i="1"/>
  <c r="E114" i="1"/>
  <c r="I115" i="1"/>
  <c r="J115" i="1"/>
  <c r="C115" i="1"/>
  <c r="G115" i="1"/>
  <c r="E115" i="1"/>
  <c r="F115" i="1"/>
  <c r="B115" i="1"/>
  <c r="H115" i="1"/>
  <c r="M115" i="1"/>
  <c r="N115" i="1"/>
  <c r="D115" i="1"/>
  <c r="J116" i="1"/>
  <c r="I116" i="1"/>
  <c r="D116" i="1"/>
  <c r="H116" i="1"/>
  <c r="M116" i="1"/>
  <c r="C116" i="1"/>
  <c r="N116" i="1"/>
  <c r="E116" i="1"/>
  <c r="F116" i="1"/>
  <c r="G116" i="1"/>
  <c r="B116" i="1"/>
  <c r="J117" i="1"/>
  <c r="I117" i="1"/>
  <c r="E117" i="1"/>
  <c r="B117" i="1"/>
  <c r="G117" i="1"/>
  <c r="C117" i="1"/>
  <c r="H117" i="1"/>
  <c r="M117" i="1"/>
  <c r="D117" i="1"/>
  <c r="F117" i="1"/>
  <c r="N117" i="1"/>
  <c r="I118" i="1"/>
  <c r="B118" i="1"/>
  <c r="F118" i="1"/>
  <c r="M118" i="1"/>
  <c r="E118" i="1"/>
  <c r="J118" i="1"/>
  <c r="G118" i="1"/>
  <c r="H118" i="1"/>
  <c r="C118" i="1"/>
  <c r="D118" i="1"/>
  <c r="N118" i="1"/>
  <c r="I119" i="1"/>
  <c r="C119" i="1"/>
  <c r="G119" i="1"/>
  <c r="D119" i="1"/>
  <c r="M119" i="1"/>
  <c r="E119" i="1"/>
  <c r="N119" i="1"/>
  <c r="B119" i="1"/>
  <c r="J119" i="1"/>
  <c r="F119" i="1"/>
  <c r="H119" i="1"/>
  <c r="I120" i="1"/>
  <c r="J120" i="1"/>
  <c r="D120" i="1"/>
  <c r="H120" i="1"/>
  <c r="M120" i="1"/>
  <c r="B120" i="1"/>
  <c r="G120" i="1"/>
  <c r="C120" i="1"/>
  <c r="E120" i="1"/>
  <c r="N120" i="1"/>
  <c r="F120" i="1"/>
  <c r="I121" i="1"/>
  <c r="E121" i="1"/>
  <c r="F121" i="1"/>
  <c r="N121" i="1"/>
  <c r="J121" i="1"/>
  <c r="B121" i="1"/>
  <c r="G121" i="1"/>
  <c r="H121" i="1"/>
  <c r="M121" i="1"/>
  <c r="C121" i="1"/>
  <c r="D121" i="1"/>
  <c r="J122" i="1"/>
  <c r="B122" i="1"/>
  <c r="F122" i="1"/>
  <c r="M122" i="1"/>
  <c r="D122" i="1"/>
  <c r="E122" i="1"/>
  <c r="N122" i="1"/>
  <c r="I122" i="1"/>
  <c r="C122" i="1"/>
  <c r="G122" i="1"/>
  <c r="H122" i="1"/>
  <c r="J123" i="1"/>
  <c r="C123" i="1"/>
  <c r="G123" i="1"/>
  <c r="B123" i="1"/>
  <c r="H123" i="1"/>
  <c r="D123" i="1"/>
  <c r="E123" i="1"/>
  <c r="F123" i="1"/>
  <c r="M123" i="1"/>
  <c r="I123" i="1"/>
  <c r="N123" i="1"/>
  <c r="D124" i="1"/>
  <c r="H124" i="1"/>
  <c r="M124" i="1"/>
  <c r="I124" i="1"/>
  <c r="F124" i="1"/>
  <c r="N124" i="1"/>
  <c r="J124" i="1"/>
  <c r="B124" i="1"/>
  <c r="G124" i="1"/>
  <c r="C124" i="1"/>
  <c r="E124" i="1"/>
  <c r="I125" i="1"/>
  <c r="J125" i="1"/>
  <c r="E125" i="1"/>
  <c r="D125" i="1"/>
  <c r="F125" i="1"/>
  <c r="M125" i="1"/>
  <c r="B125" i="1"/>
  <c r="N125" i="1"/>
  <c r="C125" i="1"/>
  <c r="G125" i="1"/>
  <c r="H125" i="1"/>
  <c r="J126" i="1"/>
  <c r="B126" i="1"/>
  <c r="F126" i="1"/>
  <c r="M126" i="1"/>
  <c r="C126" i="1"/>
  <c r="H126" i="1"/>
  <c r="D126" i="1"/>
  <c r="I126" i="1"/>
  <c r="E126" i="1"/>
  <c r="G126" i="1"/>
  <c r="N126" i="1"/>
  <c r="I127" i="1"/>
  <c r="J127" i="1"/>
  <c r="C127" i="1"/>
  <c r="G127" i="1"/>
  <c r="F127" i="1"/>
  <c r="M127" i="1"/>
  <c r="B127" i="1"/>
  <c r="H127" i="1"/>
  <c r="N127" i="1"/>
  <c r="D127" i="1"/>
  <c r="E127" i="1"/>
  <c r="D128" i="1"/>
  <c r="H128" i="1"/>
  <c r="M128" i="1"/>
  <c r="E128" i="1"/>
  <c r="I128" i="1"/>
  <c r="F128" i="1"/>
  <c r="J128" i="1"/>
  <c r="B128" i="1"/>
  <c r="C128" i="1"/>
  <c r="G128" i="1"/>
  <c r="N128" i="1"/>
  <c r="I129" i="1"/>
  <c r="E129" i="1"/>
  <c r="C129" i="1"/>
  <c r="H129" i="1"/>
  <c r="N129" i="1"/>
  <c r="D129" i="1"/>
  <c r="F129" i="1"/>
  <c r="J129" i="1"/>
  <c r="G129" i="1"/>
  <c r="B129" i="1"/>
  <c r="M129" i="1"/>
  <c r="J130" i="1"/>
  <c r="B130" i="1"/>
  <c r="F130" i="1"/>
  <c r="M130" i="1"/>
  <c r="I130" i="1"/>
  <c r="G130" i="1"/>
  <c r="C130" i="1"/>
  <c r="H130" i="1"/>
  <c r="N130" i="1"/>
  <c r="D130" i="1"/>
  <c r="E130" i="1"/>
  <c r="C131" i="1"/>
  <c r="G131" i="1"/>
  <c r="E131" i="1"/>
  <c r="I131" i="1"/>
  <c r="F131" i="1"/>
  <c r="J131" i="1"/>
  <c r="B131" i="1"/>
  <c r="M131" i="1"/>
  <c r="D131" i="1"/>
  <c r="N131" i="1"/>
  <c r="H131" i="1"/>
  <c r="J132" i="1"/>
  <c r="I132" i="1"/>
  <c r="D132" i="1"/>
  <c r="H132" i="1"/>
  <c r="M132" i="1"/>
  <c r="C132" i="1"/>
  <c r="N132" i="1"/>
  <c r="E132" i="1"/>
  <c r="F132" i="1"/>
  <c r="G132" i="1"/>
  <c r="B132" i="1"/>
  <c r="I133" i="1"/>
  <c r="E133" i="1"/>
  <c r="J133" i="1"/>
  <c r="B133" i="1"/>
  <c r="G133" i="1"/>
  <c r="C133" i="1"/>
  <c r="H133" i="1"/>
  <c r="M133" i="1"/>
  <c r="D133" i="1"/>
  <c r="N133" i="1"/>
  <c r="F133" i="1"/>
  <c r="J134" i="1"/>
  <c r="I134" i="1"/>
  <c r="B134" i="1"/>
  <c r="F134" i="1"/>
  <c r="M134" i="1"/>
  <c r="E134" i="1"/>
  <c r="G134" i="1"/>
  <c r="C134" i="1"/>
  <c r="D134" i="1"/>
  <c r="H134" i="1"/>
  <c r="N134" i="1"/>
  <c r="C135" i="1"/>
  <c r="G135" i="1"/>
  <c r="D135" i="1"/>
  <c r="M135" i="1"/>
  <c r="E135" i="1"/>
  <c r="N135" i="1"/>
  <c r="I135" i="1"/>
  <c r="F135" i="1"/>
  <c r="H135" i="1"/>
  <c r="J135" i="1"/>
  <c r="B135" i="1"/>
  <c r="I136" i="1"/>
  <c r="D136" i="1"/>
  <c r="H136" i="1"/>
  <c r="M136" i="1"/>
  <c r="J136" i="1"/>
  <c r="B136" i="1"/>
  <c r="G136" i="1"/>
  <c r="C136" i="1"/>
  <c r="N136" i="1"/>
  <c r="E136" i="1"/>
  <c r="F136" i="1"/>
  <c r="I137" i="1"/>
  <c r="E137" i="1"/>
  <c r="F137" i="1"/>
  <c r="N137" i="1"/>
  <c r="J137" i="1"/>
  <c r="B137" i="1"/>
  <c r="G137" i="1"/>
  <c r="C137" i="1"/>
  <c r="D137" i="1"/>
  <c r="M137" i="1"/>
  <c r="H137" i="1"/>
  <c r="J138" i="1"/>
  <c r="B138" i="1"/>
  <c r="F138" i="1"/>
  <c r="M138" i="1"/>
  <c r="D138" i="1"/>
  <c r="E138" i="1"/>
  <c r="N138" i="1"/>
  <c r="I138" i="1"/>
  <c r="G138" i="1"/>
  <c r="H138" i="1"/>
  <c r="C138" i="1"/>
  <c r="J139" i="1"/>
  <c r="I139" i="1"/>
  <c r="C139" i="1"/>
  <c r="G139" i="1"/>
  <c r="B139" i="1"/>
  <c r="H139" i="1"/>
  <c r="D139" i="1"/>
  <c r="E139" i="1"/>
  <c r="M139" i="1"/>
  <c r="F139" i="1"/>
  <c r="N139" i="1"/>
  <c r="D140" i="1"/>
  <c r="H140" i="1"/>
  <c r="M140" i="1"/>
  <c r="I140" i="1"/>
  <c r="F140" i="1"/>
  <c r="N140" i="1"/>
  <c r="J140" i="1"/>
  <c r="B140" i="1"/>
  <c r="G140" i="1"/>
  <c r="C140" i="1"/>
  <c r="E140" i="1"/>
  <c r="I141" i="1"/>
  <c r="J141" i="1"/>
  <c r="E141" i="1"/>
  <c r="D141" i="1"/>
  <c r="F141" i="1"/>
  <c r="M141" i="1"/>
  <c r="G141" i="1"/>
  <c r="N141" i="1"/>
  <c r="H141" i="1"/>
  <c r="B141" i="1"/>
  <c r="C141" i="1"/>
  <c r="J142" i="1"/>
  <c r="B142" i="1"/>
  <c r="F142" i="1"/>
  <c r="C142" i="1"/>
  <c r="H142" i="1"/>
  <c r="N142" i="1"/>
  <c r="D142" i="1"/>
  <c r="I142" i="1"/>
  <c r="M142" i="1"/>
  <c r="E142" i="1"/>
  <c r="G142" i="1"/>
  <c r="I143" i="1"/>
  <c r="C143" i="1"/>
  <c r="G143" i="1"/>
  <c r="F143" i="1"/>
  <c r="J143" i="1"/>
  <c r="B143" i="1"/>
  <c r="H143" i="1"/>
  <c r="M143" i="1"/>
  <c r="D143" i="1"/>
  <c r="E143" i="1"/>
  <c r="N143" i="1"/>
  <c r="I144" i="1"/>
  <c r="D144" i="1"/>
  <c r="H144" i="1"/>
  <c r="E144" i="1"/>
  <c r="N144" i="1"/>
  <c r="F144" i="1"/>
  <c r="J144" i="1"/>
  <c r="G144" i="1"/>
  <c r="B144" i="1"/>
  <c r="C144" i="1"/>
  <c r="M144" i="1"/>
  <c r="I145" i="1"/>
  <c r="E145" i="1"/>
  <c r="C145" i="1"/>
  <c r="H145" i="1"/>
  <c r="D145" i="1"/>
  <c r="M145" i="1"/>
  <c r="N145" i="1"/>
  <c r="B145" i="1"/>
  <c r="J145" i="1"/>
  <c r="F145" i="1"/>
  <c r="G145" i="1"/>
  <c r="J146" i="1"/>
  <c r="I146" i="1"/>
  <c r="B146" i="1"/>
  <c r="F146" i="1"/>
  <c r="G146" i="1"/>
  <c r="N146" i="1"/>
  <c r="C146" i="1"/>
  <c r="H146" i="1"/>
  <c r="D146" i="1"/>
  <c r="E146" i="1"/>
  <c r="M146" i="1"/>
  <c r="C147" i="1"/>
  <c r="G147" i="1"/>
  <c r="E147" i="1"/>
  <c r="I147" i="1"/>
  <c r="F147" i="1"/>
  <c r="M147" i="1"/>
  <c r="J147" i="1"/>
  <c r="H147" i="1"/>
  <c r="B147" i="1"/>
  <c r="N147" i="1"/>
  <c r="D147" i="1"/>
  <c r="I148" i="1"/>
  <c r="J148" i="1"/>
  <c r="D148" i="1"/>
  <c r="H148" i="1"/>
  <c r="C148" i="1"/>
  <c r="N148" i="1"/>
  <c r="E148" i="1"/>
  <c r="B148" i="1"/>
  <c r="F148" i="1"/>
  <c r="G148" i="1"/>
  <c r="M148" i="1"/>
</calcChain>
</file>

<file path=xl/comments1.xml><?xml version="1.0" encoding="utf-8"?>
<comments xmlns="http://schemas.openxmlformats.org/spreadsheetml/2006/main">
  <authors>
    <author>ivan</author>
  </authors>
  <commentList>
    <comment ref="X4" authorId="0">
      <text>
        <r>
          <rPr>
            <b/>
            <sz val="9"/>
            <color indexed="81"/>
            <rFont val="Tahoma"/>
            <family val="2"/>
          </rPr>
          <t>ivan:</t>
        </r>
        <r>
          <rPr>
            <sz val="9"/>
            <color indexed="81"/>
            <rFont val="Tahoma"/>
            <family val="2"/>
          </rPr>
          <t xml:space="preserve">
Precidion de tiempo en otras carreras en función de la marca actual de 5km. NO es la marca objetivo despues del plan de entrenamiento.</t>
        </r>
      </text>
    </comment>
    <comment ref="C13" authorId="0">
      <text>
        <r>
          <rPr>
            <b/>
            <sz val="9"/>
            <color indexed="81"/>
            <rFont val="Tahoma"/>
            <family val="2"/>
          </rPr>
          <t>ivan:</t>
        </r>
        <r>
          <rPr>
            <sz val="9"/>
            <color indexed="81"/>
            <rFont val="Tahoma"/>
            <family val="2"/>
          </rPr>
          <t xml:space="preserve">
Una marca realizada recientemente. Se recomienda hacer una carrera test de 5K al inicio del plan. En función de este tiempo se fijan los ritmos para las series y las carreras cortas y largas.</t>
        </r>
      </text>
    </comment>
    <comment ref="C19" authorId="0">
      <text>
        <r>
          <rPr>
            <b/>
            <sz val="9"/>
            <color indexed="81"/>
            <rFont val="Tahoma"/>
            <family val="2"/>
          </rPr>
          <t>ivan:</t>
        </r>
        <r>
          <rPr>
            <sz val="9"/>
            <color indexed="81"/>
            <rFont val="Tahoma"/>
            <family val="2"/>
          </rPr>
          <t xml:space="preserve">
fecha del lunes de la semana que quiera comenzarse el plan.</t>
        </r>
      </text>
    </comment>
  </commentList>
</comments>
</file>

<file path=xl/comments2.xml><?xml version="1.0" encoding="utf-8"?>
<comments xmlns="http://schemas.openxmlformats.org/spreadsheetml/2006/main">
  <authors>
    <author>Dioni</author>
  </authors>
  <commentList>
    <comment ref="F15" authorId="0">
      <text>
        <r>
          <rPr>
            <b/>
            <sz val="9"/>
            <color indexed="81"/>
            <rFont val="Tahoma"/>
            <family val="2"/>
          </rPr>
          <t>Ivan: tiempo en el que hay que completar la serie</t>
        </r>
        <r>
          <rPr>
            <sz val="9"/>
            <color indexed="81"/>
            <rFont val="Tahoma"/>
            <family val="2"/>
          </rPr>
          <t xml:space="preserve">
</t>
        </r>
      </text>
    </comment>
    <comment ref="G15" authorId="0">
      <text>
        <r>
          <rPr>
            <b/>
            <sz val="9"/>
            <color indexed="81"/>
            <rFont val="Tahoma"/>
            <family val="2"/>
          </rPr>
          <t xml:space="preserve">Ivan: ritmo al que hay que completar la serie
</t>
        </r>
      </text>
    </comment>
    <comment ref="F143" authorId="0">
      <text>
        <r>
          <rPr>
            <b/>
            <sz val="9"/>
            <color indexed="81"/>
            <rFont val="Tahoma"/>
            <family val="2"/>
          </rPr>
          <t>Ivan: tiempo en el que hay que completar la serie</t>
        </r>
        <r>
          <rPr>
            <sz val="9"/>
            <color indexed="81"/>
            <rFont val="Tahoma"/>
            <family val="2"/>
          </rPr>
          <t xml:space="preserve">
</t>
        </r>
      </text>
    </comment>
    <comment ref="G143" authorId="0">
      <text>
        <r>
          <rPr>
            <b/>
            <sz val="9"/>
            <color indexed="81"/>
            <rFont val="Tahoma"/>
            <family val="2"/>
          </rPr>
          <t xml:space="preserve">Ivan: ritmo al que hay que completar la serie
</t>
        </r>
      </text>
    </comment>
    <comment ref="F269" authorId="0">
      <text>
        <r>
          <rPr>
            <b/>
            <sz val="9"/>
            <color indexed="81"/>
            <rFont val="Tahoma"/>
            <family val="2"/>
          </rPr>
          <t>Ivan: tiempo en el que hay que completar la serie</t>
        </r>
        <r>
          <rPr>
            <sz val="9"/>
            <color indexed="81"/>
            <rFont val="Tahoma"/>
            <family val="2"/>
          </rPr>
          <t xml:space="preserve">
</t>
        </r>
      </text>
    </comment>
    <comment ref="G269" authorId="0">
      <text>
        <r>
          <rPr>
            <b/>
            <sz val="9"/>
            <color indexed="81"/>
            <rFont val="Tahoma"/>
            <family val="2"/>
          </rPr>
          <t xml:space="preserve">Ivan: ritmo al que hay que completar la serie
</t>
        </r>
      </text>
    </comment>
    <comment ref="F441" authorId="0">
      <text>
        <r>
          <rPr>
            <b/>
            <sz val="9"/>
            <color indexed="81"/>
            <rFont val="Tahoma"/>
            <family val="2"/>
          </rPr>
          <t>Ivan: tiempo en el que hay que completar la serie</t>
        </r>
        <r>
          <rPr>
            <sz val="9"/>
            <color indexed="81"/>
            <rFont val="Tahoma"/>
            <family val="2"/>
          </rPr>
          <t xml:space="preserve">
</t>
        </r>
      </text>
    </comment>
    <comment ref="G441" authorId="0">
      <text>
        <r>
          <rPr>
            <b/>
            <sz val="9"/>
            <color indexed="81"/>
            <rFont val="Tahoma"/>
            <family val="2"/>
          </rPr>
          <t xml:space="preserve">Ivan: ritmo al que hay que completar la serie
</t>
        </r>
      </text>
    </comment>
    <comment ref="F604" authorId="0">
      <text>
        <r>
          <rPr>
            <b/>
            <sz val="9"/>
            <color indexed="81"/>
            <rFont val="Tahoma"/>
            <family val="2"/>
          </rPr>
          <t>Ivan: tiempo en el que hay que completar la serie</t>
        </r>
        <r>
          <rPr>
            <sz val="9"/>
            <color indexed="81"/>
            <rFont val="Tahoma"/>
            <family val="2"/>
          </rPr>
          <t xml:space="preserve">
</t>
        </r>
      </text>
    </comment>
    <comment ref="G604" authorId="0">
      <text>
        <r>
          <rPr>
            <b/>
            <sz val="9"/>
            <color indexed="81"/>
            <rFont val="Tahoma"/>
            <family val="2"/>
          </rPr>
          <t xml:space="preserve">Ivan: ritmo al que hay que completar la serie
</t>
        </r>
      </text>
    </comment>
  </commentList>
</comments>
</file>

<file path=xl/sharedStrings.xml><?xml version="1.0" encoding="utf-8"?>
<sst xmlns="http://schemas.openxmlformats.org/spreadsheetml/2006/main" count="5035" uniqueCount="185">
  <si>
    <t>400 M</t>
  </si>
  <si>
    <t>600 M</t>
  </si>
  <si>
    <t>800 M</t>
  </si>
  <si>
    <t xml:space="preserve">1000 M </t>
  </si>
  <si>
    <t>1200 M</t>
  </si>
  <si>
    <t>1600 M</t>
  </si>
  <si>
    <t>2000 M</t>
  </si>
  <si>
    <t>SERIES</t>
  </si>
  <si>
    <t>TEMPO RUN</t>
  </si>
  <si>
    <t>LONG RUN</t>
  </si>
  <si>
    <t>CORTO</t>
  </si>
  <si>
    <t>MEDIO</t>
  </si>
  <si>
    <t>LARGO</t>
  </si>
  <si>
    <t>MAR</t>
  </si>
  <si>
    <t>M.MAR</t>
  </si>
  <si>
    <t>MEJOR MARCA 5KM</t>
  </si>
  <si>
    <t>Marca actual 5 km</t>
  </si>
  <si>
    <t>Series</t>
  </si>
  <si>
    <t>Carrera Corta</t>
  </si>
  <si>
    <t>Carrera Larga</t>
  </si>
  <si>
    <t>Lunes</t>
  </si>
  <si>
    <t>Martes</t>
  </si>
  <si>
    <t>Miercoles</t>
  </si>
  <si>
    <t>Jueves</t>
  </si>
  <si>
    <t>Viernes</t>
  </si>
  <si>
    <t>Sabado</t>
  </si>
  <si>
    <t>Domingo</t>
  </si>
  <si>
    <t>Entr. Cruzado</t>
  </si>
  <si>
    <t>Descanso</t>
  </si>
  <si>
    <t>error falta ent. Prin</t>
  </si>
  <si>
    <t>error falta ent. Cruz</t>
  </si>
  <si>
    <t>error entre seguidos</t>
  </si>
  <si>
    <t>sin errores</t>
  </si>
  <si>
    <t>DISTRIBUCION SEMANAL DE ENTRENAMIENTOS</t>
  </si>
  <si>
    <t>mm</t>
  </si>
  <si>
    <t>ss</t>
  </si>
  <si>
    <t>5 km (12 semanas)</t>
  </si>
  <si>
    <t>10 km (12 semanas)</t>
  </si>
  <si>
    <t>Media Marathon (16 semanas)</t>
  </si>
  <si>
    <t>Marathon principiantes (16 semanas)</t>
  </si>
  <si>
    <t>Marathon (16 semanas)</t>
  </si>
  <si>
    <t>Son obligatorios los tres entrenamientos principales</t>
  </si>
  <si>
    <t>Son obligatorios al menos dos entrenamientos cruzados semanales</t>
  </si>
  <si>
    <t>No se pueden realizar dos entrenamientos principales en dias consecutivos</t>
  </si>
  <si>
    <t>ENTRENAMIENTO FIRST - RUN LESS RUN FASTER</t>
  </si>
  <si>
    <t>Series: mejora la velocidad, capacidad VO2max y la economia de carrera. Aproximadamente 5-6 km semanales.</t>
  </si>
  <si>
    <t>Carrera corta (Tempo Run): mejora la tolerancia al lactato. Entre el 30%-50% de km de la distancia que se esté entrenando.</t>
  </si>
  <si>
    <t>Carrera larga: mejora la adaptación muscular, articular, frecuencia cardiaca y metabolismo aerobico.</t>
  </si>
  <si>
    <t>Antes de iniciar el plan de entrenamiento se recomienda tres meses de entrenamiento de adaptación con una carga de 20-30 km semanales.</t>
  </si>
  <si>
    <t>Distancia que desea entrenar</t>
  </si>
  <si>
    <t>CARRERA CORTA (TEMPO RUN)</t>
  </si>
  <si>
    <t>CARRERA LARGA</t>
  </si>
  <si>
    <t>SEMANA</t>
  </si>
  <si>
    <t>REP</t>
  </si>
  <si>
    <t>DIST</t>
  </si>
  <si>
    <t>REC</t>
  </si>
  <si>
    <t>8X</t>
  </si>
  <si>
    <t>400m</t>
  </si>
  <si>
    <t>5X</t>
  </si>
  <si>
    <t>2X</t>
  </si>
  <si>
    <t>1X</t>
  </si>
  <si>
    <t>4X</t>
  </si>
  <si>
    <t>10X</t>
  </si>
  <si>
    <t>6X</t>
  </si>
  <si>
    <t>3X</t>
  </si>
  <si>
    <t>RITMO</t>
  </si>
  <si>
    <t>PLAN DE ENTRENAMIENTO 5 KM - 12 SEMANAS</t>
  </si>
  <si>
    <t>CAL: calentamiento</t>
  </si>
  <si>
    <t>REP: repeticiones</t>
  </si>
  <si>
    <t>DIST: distancia</t>
  </si>
  <si>
    <t>REC: recuperación</t>
  </si>
  <si>
    <t>ENF: enfriamiento</t>
  </si>
  <si>
    <t>CAL: 10-20 min. Incluye ejercios:</t>
  </si>
  <si>
    <t>2x100 m progresivos</t>
  </si>
  <si>
    <t>REP: diferencia entre las series 2-3 seg aprox</t>
  </si>
  <si>
    <t>CARRERA CORTA</t>
  </si>
  <si>
    <t>PLAN DE ENTRENAMIENTO 10 KM - 12 SEMANAS</t>
  </si>
  <si>
    <t>PLAN DE ENTRENAMIENTO MEDIA MARATHON - 16 SEMANAS</t>
  </si>
  <si>
    <t>12X</t>
  </si>
  <si>
    <t>PLAN DE ENTRENAMIENTO MARATHON PRINCIPIANTES - 16 SEMANAS</t>
  </si>
  <si>
    <t>200m</t>
  </si>
  <si>
    <t>PLAN DE ENTRENAMIENTO MARATHON - 16 SEMANAS</t>
  </si>
  <si>
    <t>ENF: 10 min de pie o estiramientos</t>
  </si>
  <si>
    <t>Sistema de entrenamiento basado en tres entrenamientos de calidad a la semana. Los tres entrenamientos de calidad son: series, carrera corta; carrera larga. Estos entrenamientos se complementan con al menos dos entrenamientos cruzados a la semana (natación, ciclismos, etc) para mejorar la capacidad aeróbica y la recuperación muscular.</t>
  </si>
  <si>
    <t>Fecha de inicio del plan</t>
  </si>
  <si>
    <t>dd/mm/aaaa</t>
  </si>
  <si>
    <t>comprobacion lunes</t>
  </si>
  <si>
    <t>duracion plan semanas</t>
  </si>
  <si>
    <t>SENSACIONES</t>
  </si>
  <si>
    <t>error lunes</t>
  </si>
  <si>
    <t>TIEM</t>
  </si>
  <si>
    <t>TEMPO CORTO</t>
  </si>
  <si>
    <t>TEMPO MEDIO</t>
  </si>
  <si>
    <t>TEMPO LARGO</t>
  </si>
  <si>
    <t>MARATHON</t>
  </si>
  <si>
    <t>M.MARATHON</t>
  </si>
  <si>
    <t>FCMd</t>
  </si>
  <si>
    <t>FCMx</t>
  </si>
  <si>
    <t>Km</t>
  </si>
  <si>
    <t>ENTRENO</t>
  </si>
  <si>
    <t>RESUMEN</t>
  </si>
  <si>
    <t>RESULTADOS</t>
  </si>
  <si>
    <t>S1</t>
  </si>
  <si>
    <t>S2</t>
  </si>
  <si>
    <t>S3</t>
  </si>
  <si>
    <t>S4</t>
  </si>
  <si>
    <t>S5</t>
  </si>
  <si>
    <t>S6</t>
  </si>
  <si>
    <t>S7</t>
  </si>
  <si>
    <t>S8</t>
  </si>
  <si>
    <t>CALENTAMIENTO</t>
  </si>
  <si>
    <t>ENFRIAMIENTO</t>
  </si>
  <si>
    <t>REALIZADO</t>
  </si>
  <si>
    <t>Nº S</t>
  </si>
  <si>
    <t>OBJ</t>
  </si>
  <si>
    <t>TIE.R</t>
  </si>
  <si>
    <t>DIF</t>
  </si>
  <si>
    <t>RIT.R</t>
  </si>
  <si>
    <t>3K</t>
  </si>
  <si>
    <t>8K</t>
  </si>
  <si>
    <t>5K</t>
  </si>
  <si>
    <t>10K</t>
  </si>
  <si>
    <t>1,5K</t>
  </si>
  <si>
    <t>6,5K</t>
  </si>
  <si>
    <t>11K</t>
  </si>
  <si>
    <t>S9</t>
  </si>
  <si>
    <t>S10</t>
  </si>
  <si>
    <t>90sg</t>
  </si>
  <si>
    <t>13K</t>
  </si>
  <si>
    <t>60sg</t>
  </si>
  <si>
    <t>CARRERA DE 5KM</t>
  </si>
  <si>
    <t xml:space="preserve">1x100 m talon gluteos </t>
  </si>
  <si>
    <t>1x100 rodillas arriba</t>
  </si>
  <si>
    <t>ENF: 10 min suave.</t>
  </si>
  <si>
    <t>TIEM: tiempo para las series</t>
  </si>
  <si>
    <t>TIE.R tiempo realizado</t>
  </si>
  <si>
    <t>RIT.R: ritmo realizado</t>
  </si>
  <si>
    <t>TIEMPOS</t>
  </si>
  <si>
    <t>14K</t>
  </si>
  <si>
    <t>16K</t>
  </si>
  <si>
    <t>CARRERA DE 10KM</t>
  </si>
  <si>
    <t>S11</t>
  </si>
  <si>
    <t>S12</t>
  </si>
  <si>
    <t>12,5K</t>
  </si>
  <si>
    <t>18K</t>
  </si>
  <si>
    <t>2min</t>
  </si>
  <si>
    <t>19K</t>
  </si>
  <si>
    <t>bloques</t>
  </si>
  <si>
    <t>2,5min</t>
  </si>
  <si>
    <t>21K</t>
  </si>
  <si>
    <t>22K</t>
  </si>
  <si>
    <t>S110</t>
  </si>
  <si>
    <t>25K</t>
  </si>
  <si>
    <t>CARRERA MEDIA MARATHON</t>
  </si>
  <si>
    <t>15K</t>
  </si>
  <si>
    <t>17K</t>
  </si>
  <si>
    <t>20K</t>
  </si>
  <si>
    <t>24K</t>
  </si>
  <si>
    <t>30K</t>
  </si>
  <si>
    <t>32K</t>
  </si>
  <si>
    <t>CARRERA MARATHON</t>
  </si>
  <si>
    <t>27K</t>
  </si>
  <si>
    <t>29K</t>
  </si>
  <si>
    <t>En los km fáciles aumentar el ritmo progresivamente hasta el ritmo objetivo</t>
  </si>
  <si>
    <t>CAL: 1,5 K progresivos (km faciles)</t>
  </si>
  <si>
    <t>ENF: 1,5 K suaves (km faciles)</t>
  </si>
  <si>
    <t>CAL: 2K más lento que ritmo requerido. El calentamiento está incluido en los km del entreno.</t>
  </si>
  <si>
    <t>SS</t>
  </si>
  <si>
    <t>CC</t>
  </si>
  <si>
    <t>CL</t>
  </si>
  <si>
    <t>HALF MARATHON</t>
  </si>
  <si>
    <t>5 Km</t>
  </si>
  <si>
    <t>Media Marathon</t>
  </si>
  <si>
    <t>Marathon</t>
  </si>
  <si>
    <t>10 Km</t>
  </si>
  <si>
    <t>MARCA</t>
  </si>
  <si>
    <t>PREDICCION TIEMPO CARRERAS</t>
  </si>
  <si>
    <t>REGISTRO DE CARRERAS</t>
  </si>
  <si>
    <t>FECHA</t>
  </si>
  <si>
    <t>FACIL</t>
  </si>
  <si>
    <t>2.2</t>
  </si>
  <si>
    <t>CALCULADORA TIEMPO - RITMO SERIES</t>
  </si>
  <si>
    <t>TIEMPO SERIE</t>
  </si>
  <si>
    <t>LONGITUD (m)</t>
  </si>
  <si>
    <t>RITMO (min/km)</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</si>
</sst>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_-* #,##0.00\ _€_-;\-* #,##0.00\ _€_-;_-* &quot;-&quot;??\ _€_-;_-@_-"/>
    <numFmt numFmtId="165" formatCode="[$-F400]h:mm:ss\ AM/PM"/>
    <numFmt numFmtId="166" formatCode="mm:ss.00"/>
    <numFmt numFmtId="167" formatCode="ss"/>
    <numFmt numFmtId="168" formatCode="0.0"/>
    <numFmt numFmtId="169" formatCode="d\-m\-yy;@"/>
  </numFmts>
  <fonts count="26" x14ac:knownFonts="1">
    <font>
      <sz val="11"/>
      <color theme="1"/>
      <name val="Calibri"/>
      <family val="2"/>
      <scheme val="minor"/>
    </font>
    <font>
      <sz val="11"/>
      <color theme="0"/>
      <name val="Calibri"/>
      <family val="2"/>
      <scheme val="minor"/>
    </font>
    <font>
      <sz val="9.5"/>
      <color rgb="FF1A1C1E"/>
      <name val="Verdana"/>
      <family val="2"/>
    </font>
    <font>
      <b/>
      <sz val="12"/>
      <color theme="1"/>
      <name val="Calibri"/>
      <family val="2"/>
      <scheme val="minor"/>
    </font>
    <font>
      <b/>
      <sz val="12"/>
      <color theme="0"/>
      <name val="Calibri"/>
      <family val="2"/>
      <scheme val="minor"/>
    </font>
    <font>
      <b/>
      <sz val="11"/>
      <color theme="1"/>
      <name val="Calibri"/>
      <family val="2"/>
      <scheme val="minor"/>
    </font>
    <font>
      <sz val="14"/>
      <color theme="1"/>
      <name val="Calibri"/>
      <family val="2"/>
      <scheme val="minor"/>
    </font>
    <font>
      <b/>
      <sz val="16"/>
      <color theme="1"/>
      <name val="Calibri"/>
      <family val="2"/>
      <scheme val="minor"/>
    </font>
    <font>
      <b/>
      <sz val="18"/>
      <color theme="1"/>
      <name val="Calibri"/>
      <family val="2"/>
      <scheme val="minor"/>
    </font>
    <font>
      <sz val="10"/>
      <name val="Calibri"/>
      <family val="2"/>
      <scheme val="minor"/>
    </font>
    <font>
      <sz val="22"/>
      <color theme="1"/>
      <name val="Calibri"/>
      <family val="2"/>
      <scheme val="minor"/>
    </font>
    <font>
      <b/>
      <sz val="16"/>
      <color theme="0"/>
      <name val="Calibri"/>
      <family val="2"/>
      <scheme val="minor"/>
    </font>
    <font>
      <sz val="11"/>
      <color theme="0" tint="-0.14999847407452621"/>
      <name val="Calibri"/>
      <family val="2"/>
      <scheme val="minor"/>
    </font>
    <font>
      <b/>
      <sz val="20"/>
      <color theme="0"/>
      <name val="Calibri"/>
      <family val="2"/>
      <scheme val="minor"/>
    </font>
    <font>
      <sz val="9"/>
      <color indexed="81"/>
      <name val="Tahoma"/>
      <family val="2"/>
    </font>
    <font>
      <b/>
      <sz val="9"/>
      <color indexed="81"/>
      <name val="Tahoma"/>
      <family val="2"/>
    </font>
    <font>
      <sz val="10"/>
      <color theme="1"/>
      <name val="Calibri"/>
      <family val="2"/>
      <scheme val="minor"/>
    </font>
    <font>
      <sz val="8"/>
      <color theme="1"/>
      <name val="Calibri"/>
      <family val="2"/>
      <scheme val="minor"/>
    </font>
    <font>
      <sz val="11"/>
      <color theme="1"/>
      <name val="Calibri"/>
      <family val="2"/>
      <scheme val="minor"/>
    </font>
    <font>
      <b/>
      <sz val="11"/>
      <color theme="0"/>
      <name val="Calibri"/>
      <family val="2"/>
      <scheme val="minor"/>
    </font>
    <font>
      <i/>
      <sz val="12"/>
      <color theme="0"/>
      <name val="Calibri"/>
      <family val="2"/>
      <scheme val="minor"/>
    </font>
    <font>
      <b/>
      <sz val="11"/>
      <color theme="4" tint="-0.249977111117893"/>
      <name val="Calibri"/>
      <family val="2"/>
      <scheme val="minor"/>
    </font>
    <font>
      <sz val="11"/>
      <color theme="4" tint="-0.249977111117893"/>
      <name val="Calibri"/>
      <family val="2"/>
      <scheme val="minor"/>
    </font>
    <font>
      <sz val="9"/>
      <color theme="1"/>
      <name val="Calibri"/>
      <family val="2"/>
      <scheme val="minor"/>
    </font>
    <font>
      <b/>
      <sz val="12"/>
      <name val="Calibri"/>
      <family val="2"/>
      <scheme val="minor"/>
    </font>
    <font>
      <b/>
      <sz val="11"/>
      <name val="Calibri"/>
      <family val="2"/>
      <scheme val="minor"/>
    </font>
  </fonts>
  <fills count="11">
    <fill>
      <patternFill patternType="none"/>
    </fill>
    <fill>
      <patternFill patternType="gray125"/>
    </fill>
    <fill>
      <patternFill patternType="solid">
        <fgColor theme="1" tint="0.24994659260841701"/>
        <bgColor indexed="64"/>
      </patternFill>
    </fill>
    <fill>
      <patternFill patternType="solid">
        <fgColor theme="0"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rgb="FF00B0F0"/>
        <bgColor indexed="64"/>
      </patternFill>
    </fill>
    <fill>
      <patternFill patternType="solid">
        <fgColor theme="1" tint="0.14999847407452621"/>
        <bgColor indexed="64"/>
      </patternFill>
    </fill>
    <fill>
      <patternFill patternType="solid">
        <fgColor theme="4" tint="0.59999389629810485"/>
        <bgColor indexed="64"/>
      </patternFill>
    </fill>
    <fill>
      <patternFill patternType="solid">
        <fgColor theme="4" tint="-0.249977111117893"/>
        <bgColor indexed="64"/>
      </patternFill>
    </fill>
  </fills>
  <borders count="105">
    <border>
      <left/>
      <right/>
      <top/>
      <bottom/>
      <diagonal/>
    </border>
    <border>
      <left style="thick">
        <color auto="1"/>
      </left>
      <right/>
      <top style="thick">
        <color auto="1"/>
      </top>
      <bottom style="thin">
        <color auto="1"/>
      </bottom>
      <diagonal/>
    </border>
    <border>
      <left/>
      <right/>
      <top style="thick">
        <color auto="1"/>
      </top>
      <bottom style="thin">
        <color auto="1"/>
      </bottom>
      <diagonal/>
    </border>
    <border>
      <left/>
      <right style="thick">
        <color auto="1"/>
      </right>
      <top style="thick">
        <color auto="1"/>
      </top>
      <bottom style="thin">
        <color auto="1"/>
      </bottom>
      <diagonal/>
    </border>
    <border>
      <left style="thick">
        <color auto="1"/>
      </left>
      <right style="thin">
        <color auto="1"/>
      </right>
      <top style="thin">
        <color auto="1"/>
      </top>
      <bottom style="thick">
        <color auto="1"/>
      </bottom>
      <diagonal/>
    </border>
    <border>
      <left style="thin">
        <color auto="1"/>
      </left>
      <right style="thin">
        <color auto="1"/>
      </right>
      <top style="thin">
        <color auto="1"/>
      </top>
      <bottom style="thick">
        <color auto="1"/>
      </bottom>
      <diagonal/>
    </border>
    <border>
      <left style="thin">
        <color auto="1"/>
      </left>
      <right style="thick">
        <color auto="1"/>
      </right>
      <top style="thin">
        <color auto="1"/>
      </top>
      <bottom style="thick">
        <color auto="1"/>
      </bottom>
      <diagonal/>
    </border>
    <border>
      <left style="thick">
        <color auto="1"/>
      </left>
      <right style="thin">
        <color auto="1"/>
      </right>
      <top/>
      <bottom/>
      <diagonal/>
    </border>
    <border>
      <left style="thin">
        <color auto="1"/>
      </left>
      <right style="thin">
        <color auto="1"/>
      </right>
      <top/>
      <bottom/>
      <diagonal/>
    </border>
    <border>
      <left style="thin">
        <color auto="1"/>
      </left>
      <right style="thick">
        <color auto="1"/>
      </right>
      <top/>
      <bottom/>
      <diagonal/>
    </border>
    <border>
      <left style="thick">
        <color auto="1"/>
      </left>
      <right style="thin">
        <color auto="1"/>
      </right>
      <top/>
      <bottom style="thick">
        <color auto="1"/>
      </bottom>
      <diagonal/>
    </border>
    <border>
      <left style="thin">
        <color auto="1"/>
      </left>
      <right style="thin">
        <color auto="1"/>
      </right>
      <top/>
      <bottom style="thick">
        <color auto="1"/>
      </bottom>
      <diagonal/>
    </border>
    <border>
      <left style="thin">
        <color auto="1"/>
      </left>
      <right style="thick">
        <color auto="1"/>
      </right>
      <top/>
      <bottom style="thick">
        <color auto="1"/>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thick">
        <color auto="1"/>
      </bottom>
      <diagonal/>
    </border>
    <border>
      <left/>
      <right style="thin">
        <color auto="1"/>
      </right>
      <top/>
      <bottom/>
      <diagonal/>
    </border>
    <border>
      <left style="thin">
        <color auto="1"/>
      </left>
      <right style="thin">
        <color auto="1"/>
      </right>
      <top style="medium">
        <color auto="1"/>
      </top>
      <bottom style="medium">
        <color auto="1"/>
      </bottom>
      <diagonal/>
    </border>
    <border>
      <left/>
      <right style="thin">
        <color auto="1"/>
      </right>
      <top/>
      <bottom style="medium">
        <color auto="1"/>
      </bottom>
      <diagonal/>
    </border>
    <border>
      <left/>
      <right/>
      <top/>
      <bottom style="medium">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style="medium">
        <color auto="1"/>
      </top>
      <bottom/>
      <diagonal/>
    </border>
    <border>
      <left style="thick">
        <color auto="1"/>
      </left>
      <right/>
      <top/>
      <bottom style="medium">
        <color auto="1"/>
      </bottom>
      <diagonal/>
    </border>
    <border>
      <left/>
      <right style="thick">
        <color auto="1"/>
      </right>
      <top/>
      <bottom style="medium">
        <color auto="1"/>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style="thin">
        <color auto="1"/>
      </right>
      <top style="medium">
        <color auto="1"/>
      </top>
      <bottom style="medium">
        <color auto="1"/>
      </bottom>
      <diagonal/>
    </border>
    <border>
      <left style="thin">
        <color auto="1"/>
      </left>
      <right style="thick">
        <color auto="1"/>
      </right>
      <top style="medium">
        <color auto="1"/>
      </top>
      <bottom style="medium">
        <color auto="1"/>
      </bottom>
      <diagonal/>
    </border>
    <border>
      <left/>
      <right/>
      <top style="dotted">
        <color auto="1"/>
      </top>
      <bottom/>
      <diagonal/>
    </border>
    <border>
      <left/>
      <right style="thick">
        <color auto="1"/>
      </right>
      <top style="dotted">
        <color auto="1"/>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dotted">
        <color auto="1"/>
      </bottom>
      <diagonal/>
    </border>
    <border>
      <left style="medium">
        <color auto="1"/>
      </left>
      <right/>
      <top/>
      <bottom style="thin">
        <color auto="1"/>
      </bottom>
      <diagonal/>
    </border>
    <border>
      <left/>
      <right/>
      <top/>
      <bottom style="thin">
        <color auto="1"/>
      </bottom>
      <diagonal/>
    </border>
    <border>
      <left/>
      <right style="medium">
        <color auto="1"/>
      </right>
      <top/>
      <bottom style="thin">
        <color auto="1"/>
      </bottom>
      <diagonal/>
    </border>
    <border>
      <left style="medium">
        <color auto="1"/>
      </left>
      <right/>
      <top style="thin">
        <color auto="1"/>
      </top>
      <bottom style="dotted">
        <color auto="1"/>
      </bottom>
      <diagonal/>
    </border>
    <border>
      <left style="medium">
        <color auto="1"/>
      </left>
      <right/>
      <top style="medium">
        <color auto="1"/>
      </top>
      <bottom style="thin">
        <color auto="1"/>
      </bottom>
      <diagonal/>
    </border>
    <border>
      <left style="medium">
        <color auto="1"/>
      </left>
      <right/>
      <top style="dotted">
        <color auto="1"/>
      </top>
      <bottom/>
      <diagonal/>
    </border>
    <border>
      <left/>
      <right style="thick">
        <color auto="1"/>
      </right>
      <top style="medium">
        <color auto="1"/>
      </top>
      <bottom style="thin">
        <color auto="1"/>
      </bottom>
      <diagonal/>
    </border>
    <border>
      <left style="medium">
        <color auto="1"/>
      </left>
      <right/>
      <top/>
      <bottom style="thick">
        <color auto="1"/>
      </bottom>
      <diagonal/>
    </border>
    <border>
      <left style="thin">
        <color auto="1"/>
      </left>
      <right/>
      <top style="medium">
        <color auto="1"/>
      </top>
      <bottom style="medium">
        <color auto="1"/>
      </bottom>
      <diagonal/>
    </border>
    <border>
      <left/>
      <right style="hair">
        <color auto="1"/>
      </right>
      <top/>
      <bottom/>
      <diagonal/>
    </border>
    <border>
      <left style="hair">
        <color auto="1"/>
      </left>
      <right/>
      <top/>
      <bottom/>
      <diagonal/>
    </border>
    <border>
      <left/>
      <right style="hair">
        <color auto="1"/>
      </right>
      <top style="dotted">
        <color auto="1"/>
      </top>
      <bottom/>
      <diagonal/>
    </border>
    <border>
      <left/>
      <right style="hair">
        <color auto="1"/>
      </right>
      <top/>
      <bottom style="medium">
        <color auto="1"/>
      </bottom>
      <diagonal/>
    </border>
    <border>
      <left style="hair">
        <color auto="1"/>
      </left>
      <right/>
      <top/>
      <bottom style="medium">
        <color auto="1"/>
      </bottom>
      <diagonal/>
    </border>
    <border>
      <left style="hair">
        <color auto="1"/>
      </left>
      <right/>
      <top style="dotted">
        <color auto="1"/>
      </top>
      <bottom/>
      <diagonal/>
    </border>
    <border>
      <left/>
      <right/>
      <top style="medium">
        <color auto="1"/>
      </top>
      <bottom style="thin">
        <color auto="1"/>
      </bottom>
      <diagonal/>
    </border>
    <border>
      <left/>
      <right/>
      <top/>
      <bottom style="dotted">
        <color auto="1"/>
      </bottom>
      <diagonal/>
    </border>
    <border>
      <left/>
      <right style="hair">
        <color auto="1"/>
      </right>
      <top/>
      <bottom style="dotted">
        <color auto="1"/>
      </bottom>
      <diagonal/>
    </border>
    <border>
      <left style="hair">
        <color auto="1"/>
      </left>
      <right/>
      <top/>
      <bottom style="dotted">
        <color auto="1"/>
      </bottom>
      <diagonal/>
    </border>
    <border>
      <left/>
      <right style="thick">
        <color auto="1"/>
      </right>
      <top/>
      <bottom style="dotted">
        <color auto="1"/>
      </bottom>
      <diagonal/>
    </border>
    <border>
      <left/>
      <right style="hair">
        <color auto="1"/>
      </right>
      <top/>
      <bottom style="thick">
        <color auto="1"/>
      </bottom>
      <diagonal/>
    </border>
    <border>
      <left style="hair">
        <color auto="1"/>
      </left>
      <right/>
      <top/>
      <bottom style="thick">
        <color auto="1"/>
      </bottom>
      <diagonal/>
    </border>
    <border>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right style="medium">
        <color auto="1"/>
      </right>
      <top/>
      <bottom/>
      <diagonal/>
    </border>
    <border>
      <left/>
      <right style="medium">
        <color auto="1"/>
      </right>
      <top/>
      <bottom style="medium">
        <color auto="1"/>
      </bottom>
      <diagonal/>
    </border>
    <border>
      <left/>
      <right style="medium">
        <color auto="1"/>
      </right>
      <top/>
      <bottom style="thick">
        <color auto="1"/>
      </bottom>
      <diagonal/>
    </border>
    <border>
      <left style="medium">
        <color auto="1"/>
      </left>
      <right style="thin">
        <color auto="1"/>
      </right>
      <top style="medium">
        <color auto="1"/>
      </top>
      <bottom style="medium">
        <color auto="1"/>
      </bottom>
      <diagonal/>
    </border>
    <border>
      <left style="medium">
        <color auto="1"/>
      </left>
      <right/>
      <top/>
      <bottom/>
      <diagonal/>
    </border>
    <border>
      <left/>
      <right style="medium">
        <color auto="1"/>
      </right>
      <top style="medium">
        <color auto="1"/>
      </top>
      <bottom style="thin">
        <color auto="1"/>
      </bottom>
      <diagonal/>
    </border>
    <border>
      <left style="medium">
        <color auto="1"/>
      </left>
      <right/>
      <top/>
      <bottom style="dotted">
        <color auto="1"/>
      </bottom>
      <diagonal/>
    </border>
    <border>
      <left/>
      <right style="medium">
        <color auto="1"/>
      </right>
      <top style="dotted">
        <color auto="1"/>
      </top>
      <bottom/>
      <diagonal/>
    </border>
    <border>
      <left/>
      <right/>
      <top style="thin">
        <color auto="1"/>
      </top>
      <bottom style="dotted">
        <color auto="1"/>
      </bottom>
      <diagonal/>
    </border>
    <border>
      <left/>
      <right style="hair">
        <color auto="1"/>
      </right>
      <top style="thin">
        <color auto="1"/>
      </top>
      <bottom style="dotted">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medium">
        <color auto="1"/>
      </left>
      <right style="thin">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right style="thin">
        <color auto="1"/>
      </right>
      <top/>
      <bottom style="thin">
        <color auto="1"/>
      </bottom>
      <diagonal/>
    </border>
    <border>
      <left style="medium">
        <color auto="1"/>
      </left>
      <right/>
      <top/>
      <bottom style="hair">
        <color auto="1"/>
      </bottom>
      <diagonal/>
    </border>
    <border>
      <left/>
      <right/>
      <top/>
      <bottom style="hair">
        <color auto="1"/>
      </bottom>
      <diagonal/>
    </border>
    <border>
      <left/>
      <right style="thin">
        <color auto="1"/>
      </right>
      <top/>
      <bottom style="hair">
        <color auto="1"/>
      </bottom>
      <diagonal/>
    </border>
    <border>
      <left/>
      <right style="medium">
        <color auto="1"/>
      </right>
      <top/>
      <bottom style="hair">
        <color auto="1"/>
      </bottom>
      <diagonal/>
    </border>
    <border>
      <left style="medium">
        <color auto="1"/>
      </left>
      <right/>
      <top style="thin">
        <color auto="1"/>
      </top>
      <bottom style="hair">
        <color auto="1"/>
      </bottom>
      <diagonal/>
    </border>
    <border>
      <left/>
      <right/>
      <top style="thin">
        <color auto="1"/>
      </top>
      <bottom style="hair">
        <color auto="1"/>
      </bottom>
      <diagonal/>
    </border>
    <border>
      <left/>
      <right style="thin">
        <color auto="1"/>
      </right>
      <top style="thin">
        <color auto="1"/>
      </top>
      <bottom style="hair">
        <color auto="1"/>
      </bottom>
      <diagonal/>
    </border>
    <border>
      <left/>
      <right style="medium">
        <color auto="1"/>
      </right>
      <top style="thin">
        <color auto="1"/>
      </top>
      <bottom style="hair">
        <color auto="1"/>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bottom/>
      <diagonal/>
    </border>
    <border>
      <left style="thin">
        <color auto="1"/>
      </left>
      <right style="medium">
        <color auto="1"/>
      </right>
      <top/>
      <bottom style="medium">
        <color auto="1"/>
      </bottom>
      <diagonal/>
    </border>
    <border>
      <left style="medium">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medium">
        <color auto="1"/>
      </right>
      <top style="thin">
        <color auto="1"/>
      </top>
      <bottom style="thin">
        <color auto="1"/>
      </bottom>
      <diagonal/>
    </border>
    <border>
      <left style="medium">
        <color auto="1"/>
      </left>
      <right style="hair">
        <color auto="1"/>
      </right>
      <top/>
      <bottom/>
      <diagonal/>
    </border>
    <border>
      <left style="hair">
        <color auto="1"/>
      </left>
      <right style="hair">
        <color auto="1"/>
      </right>
      <top/>
      <bottom/>
      <diagonal/>
    </border>
    <border>
      <left style="hair">
        <color auto="1"/>
      </left>
      <right style="medium">
        <color auto="1"/>
      </right>
      <top/>
      <bottom/>
      <diagonal/>
    </border>
    <border>
      <left style="medium">
        <color auto="1"/>
      </left>
      <right style="hair">
        <color auto="1"/>
      </right>
      <top/>
      <bottom style="medium">
        <color auto="1"/>
      </bottom>
      <diagonal/>
    </border>
    <border>
      <left style="hair">
        <color auto="1"/>
      </left>
      <right style="hair">
        <color auto="1"/>
      </right>
      <top/>
      <bottom style="medium">
        <color auto="1"/>
      </bottom>
      <diagonal/>
    </border>
    <border>
      <left style="hair">
        <color auto="1"/>
      </left>
      <right style="medium">
        <color auto="1"/>
      </right>
      <top/>
      <bottom style="medium">
        <color auto="1"/>
      </bottom>
      <diagonal/>
    </border>
    <border>
      <left style="thin">
        <color auto="1"/>
      </left>
      <right/>
      <top/>
      <bottom/>
      <diagonal/>
    </border>
    <border>
      <left style="thin">
        <color auto="1"/>
      </left>
      <right/>
      <top/>
      <bottom style="medium">
        <color auto="1"/>
      </bottom>
      <diagonal/>
    </border>
  </borders>
  <cellStyleXfs count="2">
    <xf numFmtId="0" fontId="0" fillId="0" borderId="0"/>
    <xf numFmtId="164" fontId="18" fillId="0" borderId="0" applyFont="0" applyFill="0" applyBorder="0" applyAlignment="0" applyProtection="0"/>
  </cellStyleXfs>
  <cellXfs count="326">
    <xf numFmtId="0" fontId="0" fillId="0" borderId="0" xfId="0"/>
    <xf numFmtId="0" fontId="0" fillId="0" borderId="0" xfId="0" applyAlignment="1">
      <alignment horizontal="center" vertical="center"/>
    </xf>
    <xf numFmtId="165" fontId="0" fillId="0" borderId="0" xfId="0" applyNumberFormat="1" applyAlignment="1">
      <alignment horizontal="center" vertical="center"/>
    </xf>
    <xf numFmtId="2" fontId="0" fillId="0" borderId="0" xfId="0" applyNumberFormat="1" applyAlignment="1">
      <alignment horizontal="center" vertical="center"/>
    </xf>
    <xf numFmtId="21" fontId="2" fillId="0" borderId="0" xfId="0" applyNumberFormat="1" applyFont="1" applyAlignment="1">
      <alignment horizontal="center" vertical="center"/>
    </xf>
    <xf numFmtId="166" fontId="0" fillId="0" borderId="0" xfId="0" applyNumberFormat="1" applyAlignment="1">
      <alignment horizontal="center" vertical="center"/>
    </xf>
    <xf numFmtId="47" fontId="0" fillId="0" borderId="7" xfId="0" applyNumberFormat="1" applyBorder="1" applyAlignment="1">
      <alignment horizontal="center" vertical="center"/>
    </xf>
    <xf numFmtId="47" fontId="0" fillId="0" borderId="8" xfId="0" applyNumberFormat="1" applyBorder="1" applyAlignment="1">
      <alignment horizontal="center" vertical="center"/>
    </xf>
    <xf numFmtId="47" fontId="0" fillId="0" borderId="9" xfId="0" applyNumberFormat="1" applyBorder="1" applyAlignment="1">
      <alignment horizontal="center" vertical="center"/>
    </xf>
    <xf numFmtId="165" fontId="0" fillId="0" borderId="7" xfId="0" applyNumberFormat="1" applyBorder="1" applyAlignment="1">
      <alignment horizontal="center" vertical="center"/>
    </xf>
    <xf numFmtId="165" fontId="0" fillId="0" borderId="8" xfId="0" applyNumberFormat="1" applyBorder="1" applyAlignment="1">
      <alignment horizontal="center" vertical="center"/>
    </xf>
    <xf numFmtId="165" fontId="0" fillId="0" borderId="9" xfId="0" applyNumberFormat="1" applyBorder="1" applyAlignment="1">
      <alignment horizontal="center" vertical="center"/>
    </xf>
    <xf numFmtId="165" fontId="0" fillId="0" borderId="10" xfId="0" applyNumberFormat="1" applyBorder="1" applyAlignment="1">
      <alignment horizontal="center" vertical="center"/>
    </xf>
    <xf numFmtId="165" fontId="0" fillId="0" borderId="11" xfId="0" applyNumberFormat="1" applyBorder="1" applyAlignment="1">
      <alignment horizontal="center" vertical="center"/>
    </xf>
    <xf numFmtId="165" fontId="0" fillId="0" borderId="12" xfId="0" applyNumberFormat="1" applyBorder="1" applyAlignment="1">
      <alignment horizontal="center" vertical="center"/>
    </xf>
    <xf numFmtId="0" fontId="3" fillId="0" borderId="0" xfId="0" applyFont="1" applyAlignment="1">
      <alignment horizontal="center" vertical="center"/>
    </xf>
    <xf numFmtId="165" fontId="1" fillId="3" borderId="4" xfId="0" applyNumberFormat="1" applyFont="1" applyFill="1" applyBorder="1" applyAlignment="1">
      <alignment horizontal="center" vertical="center"/>
    </xf>
    <xf numFmtId="165" fontId="1" fillId="3" borderId="5" xfId="0" applyNumberFormat="1" applyFont="1" applyFill="1" applyBorder="1" applyAlignment="1">
      <alignment horizontal="center" vertical="center"/>
    </xf>
    <xf numFmtId="165" fontId="1" fillId="3" borderId="6" xfId="0" applyNumberFormat="1" applyFont="1" applyFill="1" applyBorder="1" applyAlignment="1">
      <alignment horizontal="center" vertical="center"/>
    </xf>
    <xf numFmtId="0" fontId="1" fillId="3" borderId="4" xfId="0" applyFont="1" applyFill="1" applyBorder="1" applyAlignment="1">
      <alignment horizontal="center" vertical="center"/>
    </xf>
    <xf numFmtId="0" fontId="1" fillId="3" borderId="5" xfId="0" applyFont="1" applyFill="1" applyBorder="1" applyAlignment="1">
      <alignment horizontal="center" vertical="center"/>
    </xf>
    <xf numFmtId="0" fontId="1" fillId="3" borderId="6" xfId="0" applyFont="1" applyFill="1" applyBorder="1" applyAlignment="1">
      <alignment horizontal="center" vertical="center"/>
    </xf>
    <xf numFmtId="0" fontId="0" fillId="0" borderId="0" xfId="0" applyAlignment="1"/>
    <xf numFmtId="45" fontId="0" fillId="0" borderId="0" xfId="0" applyNumberFormat="1" applyAlignment="1">
      <alignment horizontal="center" vertical="center"/>
    </xf>
    <xf numFmtId="1" fontId="0" fillId="0" borderId="0" xfId="0" applyNumberFormat="1" applyAlignment="1">
      <alignment horizontal="center" vertical="center"/>
    </xf>
    <xf numFmtId="45" fontId="0" fillId="0" borderId="14" xfId="0" applyNumberFormat="1" applyBorder="1" applyAlignment="1">
      <alignment horizontal="center" vertical="center"/>
    </xf>
    <xf numFmtId="45" fontId="0" fillId="0" borderId="15" xfId="0" applyNumberFormat="1" applyBorder="1" applyAlignment="1">
      <alignment horizontal="center" vertical="center"/>
    </xf>
    <xf numFmtId="0" fontId="0" fillId="4" borderId="0" xfId="0" applyFill="1"/>
    <xf numFmtId="0" fontId="0" fillId="5" borderId="0" xfId="0" applyFill="1"/>
    <xf numFmtId="0" fontId="0" fillId="5" borderId="0" xfId="0" applyFill="1" applyAlignment="1"/>
    <xf numFmtId="0" fontId="0" fillId="4" borderId="0" xfId="0" applyFill="1" applyBorder="1" applyAlignment="1">
      <alignment vertical="center"/>
    </xf>
    <xf numFmtId="0" fontId="0" fillId="4" borderId="0" xfId="0" applyFill="1" applyAlignment="1">
      <alignment horizontal="center" vertical="center"/>
    </xf>
    <xf numFmtId="0" fontId="0" fillId="4" borderId="23" xfId="0" applyFill="1" applyBorder="1" applyAlignment="1">
      <alignment horizontal="center" vertical="center"/>
    </xf>
    <xf numFmtId="0" fontId="0" fillId="4" borderId="23" xfId="0" applyFill="1" applyBorder="1" applyAlignment="1">
      <alignment horizontal="left" vertical="center"/>
    </xf>
    <xf numFmtId="0" fontId="0" fillId="4" borderId="19" xfId="0" applyFill="1" applyBorder="1" applyAlignment="1">
      <alignment vertical="center"/>
    </xf>
    <xf numFmtId="0" fontId="0" fillId="4" borderId="24" xfId="0" applyFill="1" applyBorder="1" applyAlignment="1">
      <alignment vertical="center"/>
    </xf>
    <xf numFmtId="0" fontId="12" fillId="5" borderId="0" xfId="0" applyFont="1" applyFill="1"/>
    <xf numFmtId="0" fontId="0" fillId="5" borderId="0" xfId="0" applyFill="1" applyAlignment="1">
      <alignment horizontal="center" vertical="center"/>
    </xf>
    <xf numFmtId="0" fontId="0" fillId="4" borderId="0" xfId="0" applyFill="1" applyAlignment="1">
      <alignment horizontal="center" vertical="center"/>
    </xf>
    <xf numFmtId="0" fontId="17" fillId="5" borderId="0" xfId="0" applyFont="1" applyFill="1" applyAlignment="1">
      <alignment vertical="center"/>
    </xf>
    <xf numFmtId="45" fontId="0" fillId="4" borderId="19" xfId="0" applyNumberFormat="1" applyFill="1" applyBorder="1" applyAlignment="1">
      <alignment horizontal="center" vertical="center"/>
    </xf>
    <xf numFmtId="0" fontId="0" fillId="4" borderId="0" xfId="0" applyFill="1" applyBorder="1" applyAlignment="1">
      <alignment horizontal="center" vertical="center"/>
    </xf>
    <xf numFmtId="0" fontId="0" fillId="4" borderId="19" xfId="0" applyFill="1" applyBorder="1" applyAlignment="1">
      <alignment horizontal="center" vertical="center"/>
    </xf>
    <xf numFmtId="45" fontId="0" fillId="4" borderId="0" xfId="0" applyNumberFormat="1" applyFill="1" applyBorder="1" applyAlignment="1">
      <alignment horizontal="center" vertical="center"/>
    </xf>
    <xf numFmtId="0" fontId="0" fillId="4" borderId="24" xfId="0" applyFill="1" applyBorder="1" applyAlignment="1">
      <alignment horizontal="center" vertical="center"/>
    </xf>
    <xf numFmtId="0" fontId="0" fillId="4" borderId="29" xfId="0" applyFill="1" applyBorder="1" applyAlignment="1">
      <alignment horizontal="center" vertical="center"/>
    </xf>
    <xf numFmtId="45" fontId="0" fillId="4" borderId="29" xfId="0" applyNumberFormat="1" applyFill="1" applyBorder="1" applyAlignment="1">
      <alignment horizontal="center" vertical="center"/>
    </xf>
    <xf numFmtId="0" fontId="0" fillId="4" borderId="0" xfId="0" applyFill="1" applyBorder="1" applyAlignment="1">
      <alignment horizontal="left" vertical="center"/>
    </xf>
    <xf numFmtId="0" fontId="0" fillId="4" borderId="19" xfId="0" applyFill="1" applyBorder="1" applyAlignment="1">
      <alignment horizontal="left" vertical="center"/>
    </xf>
    <xf numFmtId="0" fontId="0" fillId="4" borderId="0" xfId="0" applyFill="1" applyAlignment="1">
      <alignment horizontal="center" vertical="center"/>
    </xf>
    <xf numFmtId="0" fontId="0" fillId="4" borderId="50" xfId="0" applyFill="1" applyBorder="1" applyAlignment="1">
      <alignment horizontal="center" vertical="center"/>
    </xf>
    <xf numFmtId="0" fontId="0" fillId="4" borderId="52" xfId="0" applyFill="1" applyBorder="1" applyAlignment="1">
      <alignment horizontal="center" vertical="center"/>
    </xf>
    <xf numFmtId="167" fontId="0" fillId="4" borderId="49" xfId="0" applyNumberFormat="1" applyFill="1" applyBorder="1" applyAlignment="1">
      <alignment horizontal="center" vertical="center"/>
    </xf>
    <xf numFmtId="0" fontId="0" fillId="4" borderId="49" xfId="0" applyFill="1" applyBorder="1" applyAlignment="1">
      <alignment horizontal="center" vertical="center"/>
    </xf>
    <xf numFmtId="167" fontId="0" fillId="4" borderId="52" xfId="0" applyNumberFormat="1" applyFill="1" applyBorder="1" applyAlignment="1">
      <alignment horizontal="center" vertical="center"/>
    </xf>
    <xf numFmtId="0" fontId="0" fillId="4" borderId="60" xfId="0" applyFill="1" applyBorder="1" applyAlignment="1">
      <alignment horizontal="center" vertical="center"/>
    </xf>
    <xf numFmtId="167" fontId="0" fillId="4" borderId="60" xfId="0" applyNumberFormat="1" applyFill="1" applyBorder="1" applyAlignment="1">
      <alignment horizontal="center" vertical="center"/>
    </xf>
    <xf numFmtId="0" fontId="0" fillId="4" borderId="61" xfId="0" applyFill="1" applyBorder="1" applyAlignment="1">
      <alignment horizontal="center" vertical="center"/>
    </xf>
    <xf numFmtId="0" fontId="0" fillId="4" borderId="29" xfId="0" applyFill="1" applyBorder="1" applyAlignment="1">
      <alignment vertical="center"/>
    </xf>
    <xf numFmtId="0" fontId="0" fillId="4" borderId="30" xfId="0" applyFill="1" applyBorder="1" applyAlignment="1">
      <alignment vertical="center"/>
    </xf>
    <xf numFmtId="45" fontId="0" fillId="4" borderId="0" xfId="0" applyNumberFormat="1" applyFill="1" applyBorder="1" applyAlignment="1">
      <alignment horizontal="center" vertical="center"/>
    </xf>
    <xf numFmtId="0" fontId="0" fillId="4" borderId="0" xfId="0" applyFill="1" applyBorder="1" applyAlignment="1">
      <alignment horizontal="left" vertical="center"/>
    </xf>
    <xf numFmtId="0" fontId="0" fillId="4" borderId="19" xfId="0" applyFill="1" applyBorder="1" applyAlignment="1">
      <alignment horizontal="left" vertical="center"/>
    </xf>
    <xf numFmtId="45" fontId="12" fillId="5" borderId="0" xfId="0" applyNumberFormat="1" applyFont="1" applyFill="1" applyAlignment="1">
      <alignment horizontal="center"/>
    </xf>
    <xf numFmtId="0" fontId="0" fillId="4" borderId="29" xfId="0" applyFill="1" applyBorder="1" applyAlignment="1">
      <alignment horizontal="center" vertical="center"/>
    </xf>
    <xf numFmtId="45" fontId="0" fillId="4" borderId="29" xfId="0" applyNumberFormat="1" applyFill="1" applyBorder="1" applyAlignment="1">
      <alignment horizontal="center" vertical="center"/>
    </xf>
    <xf numFmtId="0" fontId="0" fillId="9" borderId="24" xfId="0" applyFill="1" applyBorder="1" applyAlignment="1">
      <alignment horizontal="center" vertical="center"/>
    </xf>
    <xf numFmtId="0" fontId="0" fillId="9" borderId="0" xfId="0" applyFill="1" applyBorder="1" applyAlignment="1">
      <alignment horizontal="center" vertical="center"/>
    </xf>
    <xf numFmtId="0" fontId="19" fillId="10" borderId="24" xfId="0" applyFont="1" applyFill="1" applyBorder="1" applyAlignment="1">
      <alignment horizontal="center" vertical="center"/>
    </xf>
    <xf numFmtId="0" fontId="19" fillId="10" borderId="0" xfId="0" applyFont="1" applyFill="1" applyBorder="1" applyAlignment="1">
      <alignment horizontal="center" vertical="center"/>
    </xf>
    <xf numFmtId="0" fontId="19" fillId="10" borderId="19" xfId="0" applyFont="1" applyFill="1" applyBorder="1" applyAlignment="1">
      <alignment horizontal="center" vertical="center"/>
    </xf>
    <xf numFmtId="45" fontId="0" fillId="9" borderId="0" xfId="0" applyNumberFormat="1" applyFill="1" applyBorder="1" applyAlignment="1">
      <alignment horizontal="center" vertical="center"/>
    </xf>
    <xf numFmtId="45" fontId="0" fillId="9" borderId="19" xfId="0" applyNumberFormat="1" applyFill="1" applyBorder="1" applyAlignment="1">
      <alignment horizontal="center" vertical="center"/>
    </xf>
    <xf numFmtId="45" fontId="0" fillId="9" borderId="29" xfId="0" applyNumberFormat="1" applyFill="1" applyBorder="1" applyAlignment="1">
      <alignment horizontal="center" vertical="center"/>
    </xf>
    <xf numFmtId="0" fontId="0" fillId="9" borderId="33" xfId="0" applyFill="1" applyBorder="1" applyAlignment="1">
      <alignment horizontal="left" vertical="center"/>
    </xf>
    <xf numFmtId="0" fontId="0" fillId="9" borderId="0" xfId="0" applyFill="1" applyBorder="1" applyAlignment="1">
      <alignment horizontal="left" vertical="center"/>
    </xf>
    <xf numFmtId="167" fontId="0" fillId="4" borderId="0" xfId="0" applyNumberFormat="1" applyFill="1" applyBorder="1" applyAlignment="1">
      <alignment horizontal="center" vertical="center"/>
    </xf>
    <xf numFmtId="0" fontId="0" fillId="9" borderId="54" xfId="0" applyFill="1" applyBorder="1" applyAlignment="1">
      <alignment horizontal="left" vertical="center"/>
    </xf>
    <xf numFmtId="0" fontId="0" fillId="9" borderId="50" xfId="0" applyFill="1" applyBorder="1" applyAlignment="1">
      <alignment horizontal="left" vertical="center"/>
    </xf>
    <xf numFmtId="0" fontId="0" fillId="9" borderId="50" xfId="0" applyFill="1" applyBorder="1" applyAlignment="1">
      <alignment horizontal="center" vertical="center"/>
    </xf>
    <xf numFmtId="0" fontId="0" fillId="9" borderId="24" xfId="0" applyFill="1" applyBorder="1" applyAlignment="1">
      <alignment vertical="center"/>
    </xf>
    <xf numFmtId="0" fontId="19" fillId="10" borderId="65" xfId="0" applyFont="1" applyFill="1" applyBorder="1" applyAlignment="1">
      <alignment horizontal="center" vertical="center"/>
    </xf>
    <xf numFmtId="0" fontId="0" fillId="4" borderId="68" xfId="0" applyFill="1" applyBorder="1" applyAlignment="1">
      <alignment horizontal="center" vertical="center"/>
    </xf>
    <xf numFmtId="0" fontId="0" fillId="9" borderId="64" xfId="0" applyFill="1" applyBorder="1" applyAlignment="1">
      <alignment vertical="center"/>
    </xf>
    <xf numFmtId="45" fontId="0" fillId="4" borderId="68" xfId="0" applyNumberFormat="1" applyFill="1" applyBorder="1" applyAlignment="1">
      <alignment horizontal="center" vertical="center"/>
    </xf>
    <xf numFmtId="0" fontId="0" fillId="4" borderId="64" xfId="0" applyFill="1" applyBorder="1" applyAlignment="1">
      <alignment vertical="center"/>
    </xf>
    <xf numFmtId="0" fontId="0" fillId="4" borderId="64" xfId="0" applyFill="1" applyBorder="1" applyAlignment="1">
      <alignment horizontal="center" vertical="center"/>
    </xf>
    <xf numFmtId="45" fontId="0" fillId="4" borderId="38" xfId="0" applyNumberFormat="1" applyFill="1" applyBorder="1" applyAlignment="1">
      <alignment horizontal="center" vertical="center"/>
    </xf>
    <xf numFmtId="0" fontId="0" fillId="4" borderId="47" xfId="0" applyFill="1" applyBorder="1" applyAlignment="1">
      <alignment horizontal="center" vertical="center"/>
    </xf>
    <xf numFmtId="0" fontId="0" fillId="4" borderId="66" xfId="0" applyFill="1" applyBorder="1" applyAlignment="1">
      <alignment vertical="center"/>
    </xf>
    <xf numFmtId="0" fontId="0" fillId="9" borderId="0" xfId="0" applyFill="1" applyBorder="1" applyAlignment="1">
      <alignment vertical="center"/>
    </xf>
    <xf numFmtId="0" fontId="0" fillId="4" borderId="68" xfId="0" applyFill="1" applyBorder="1" applyAlignment="1">
      <alignment horizontal="left" vertical="center"/>
    </xf>
    <xf numFmtId="0" fontId="0" fillId="4" borderId="64" xfId="0" applyFill="1" applyBorder="1" applyAlignment="1">
      <alignment horizontal="left" vertical="center"/>
    </xf>
    <xf numFmtId="0" fontId="0" fillId="4" borderId="38" xfId="0" applyFill="1" applyBorder="1" applyAlignment="1">
      <alignment horizontal="left" vertical="center"/>
    </xf>
    <xf numFmtId="0" fontId="19" fillId="10" borderId="68" xfId="0" applyFont="1" applyFill="1" applyBorder="1" applyAlignment="1">
      <alignment horizontal="center" vertical="center"/>
    </xf>
    <xf numFmtId="0" fontId="19" fillId="10" borderId="64" xfId="0" applyFont="1" applyFill="1" applyBorder="1" applyAlignment="1">
      <alignment horizontal="center" vertical="center"/>
    </xf>
    <xf numFmtId="0" fontId="19" fillId="10" borderId="38" xfId="0" applyFont="1" applyFill="1" applyBorder="1" applyAlignment="1">
      <alignment horizontal="center" vertical="center"/>
    </xf>
    <xf numFmtId="0" fontId="0" fillId="4" borderId="38" xfId="0" applyFill="1" applyBorder="1" applyAlignment="1">
      <alignment horizontal="center" vertical="center"/>
    </xf>
    <xf numFmtId="0" fontId="0" fillId="4" borderId="65" xfId="0" applyFill="1" applyBorder="1" applyAlignment="1">
      <alignment horizontal="left" vertical="center"/>
    </xf>
    <xf numFmtId="0" fontId="0" fillId="9" borderId="64" xfId="0" applyFill="1" applyBorder="1" applyAlignment="1">
      <alignment horizontal="center" vertical="center"/>
    </xf>
    <xf numFmtId="0" fontId="5" fillId="4" borderId="0" xfId="0" applyFont="1" applyFill="1" applyBorder="1" applyAlignment="1">
      <alignment vertical="center"/>
    </xf>
    <xf numFmtId="0" fontId="5" fillId="4" borderId="49" xfId="0" applyFont="1" applyFill="1" applyBorder="1" applyAlignment="1">
      <alignment vertical="center"/>
    </xf>
    <xf numFmtId="0" fontId="0" fillId="4" borderId="49" xfId="0" applyFill="1" applyBorder="1" applyAlignment="1">
      <alignment vertical="center"/>
    </xf>
    <xf numFmtId="164" fontId="0" fillId="9" borderId="64" xfId="1" applyFont="1" applyFill="1" applyBorder="1" applyAlignment="1">
      <alignment vertical="center"/>
    </xf>
    <xf numFmtId="0" fontId="0" fillId="5" borderId="0" xfId="0" applyFill="1" applyBorder="1" applyAlignment="1">
      <alignment vertical="center"/>
    </xf>
    <xf numFmtId="14" fontId="0" fillId="0" borderId="0" xfId="0" applyNumberFormat="1" applyAlignment="1">
      <alignment horizontal="center" vertical="center"/>
    </xf>
    <xf numFmtId="14" fontId="21" fillId="10" borderId="0" xfId="0" applyNumberFormat="1" applyFont="1" applyFill="1" applyBorder="1" applyAlignment="1">
      <alignment horizontal="center" vertical="center"/>
    </xf>
    <xf numFmtId="14" fontId="21" fillId="10" borderId="24" xfId="0" applyNumberFormat="1" applyFont="1" applyFill="1" applyBorder="1" applyAlignment="1">
      <alignment horizontal="center" vertical="center"/>
    </xf>
    <xf numFmtId="21" fontId="0" fillId="0" borderId="0" xfId="0" applyNumberFormat="1" applyAlignment="1">
      <alignment horizontal="center" vertical="center"/>
    </xf>
    <xf numFmtId="0" fontId="22" fillId="5" borderId="0" xfId="0" applyFont="1" applyFill="1"/>
    <xf numFmtId="21" fontId="23" fillId="4" borderId="68" xfId="0" applyNumberFormat="1" applyFont="1" applyFill="1" applyBorder="1" applyAlignment="1">
      <alignment horizontal="center" vertical="center"/>
    </xf>
    <xf numFmtId="21" fontId="23" fillId="4" borderId="0" xfId="0" applyNumberFormat="1" applyFont="1" applyFill="1" applyBorder="1" applyAlignment="1">
      <alignment horizontal="center" vertical="center"/>
    </xf>
    <xf numFmtId="21" fontId="23" fillId="4" borderId="38" xfId="0" applyNumberFormat="1" applyFont="1" applyFill="1" applyBorder="1" applyAlignment="1">
      <alignment horizontal="center" vertical="center"/>
    </xf>
    <xf numFmtId="21" fontId="23" fillId="4" borderId="19" xfId="0" applyNumberFormat="1" applyFont="1" applyFill="1" applyBorder="1" applyAlignment="1">
      <alignment horizontal="center" vertical="center"/>
    </xf>
    <xf numFmtId="21" fontId="23" fillId="4" borderId="40" xfId="0" applyNumberFormat="1" applyFont="1" applyFill="1" applyBorder="1" applyAlignment="1">
      <alignment horizontal="center" vertical="center"/>
    </xf>
    <xf numFmtId="21" fontId="23" fillId="4" borderId="41" xfId="0" applyNumberFormat="1" applyFont="1" applyFill="1" applyBorder="1" applyAlignment="1">
      <alignment horizontal="center" vertical="center"/>
    </xf>
    <xf numFmtId="0" fontId="0" fillId="4" borderId="0" xfId="0" applyFill="1" applyBorder="1"/>
    <xf numFmtId="0" fontId="0" fillId="4" borderId="64" xfId="0" applyFill="1" applyBorder="1"/>
    <xf numFmtId="0" fontId="0" fillId="4" borderId="19" xfId="0" applyFill="1" applyBorder="1"/>
    <xf numFmtId="0" fontId="0" fillId="4" borderId="65" xfId="0" applyFill="1" applyBorder="1"/>
    <xf numFmtId="0" fontId="0" fillId="4" borderId="37" xfId="0" applyFill="1" applyBorder="1" applyAlignment="1">
      <alignment vertical="center"/>
    </xf>
    <xf numFmtId="0" fontId="0" fillId="4" borderId="68" xfId="0" applyFill="1" applyBorder="1" applyAlignment="1">
      <alignment vertical="center"/>
    </xf>
    <xf numFmtId="0" fontId="23" fillId="4" borderId="89" xfId="0" applyFont="1" applyFill="1" applyBorder="1" applyAlignment="1">
      <alignment horizontal="center" vertical="center"/>
    </xf>
    <xf numFmtId="0" fontId="23" fillId="4" borderId="90" xfId="0" applyFont="1" applyFill="1" applyBorder="1" applyAlignment="1">
      <alignment horizontal="center" vertical="center"/>
    </xf>
    <xf numFmtId="0" fontId="23" fillId="4" borderId="91" xfId="0" applyFont="1" applyFill="1" applyBorder="1" applyAlignment="1">
      <alignment horizontal="center" vertical="center"/>
    </xf>
    <xf numFmtId="0" fontId="23" fillId="4" borderId="94" xfId="0" applyFont="1" applyFill="1" applyBorder="1" applyAlignment="1">
      <alignment horizontal="center" vertical="center"/>
    </xf>
    <xf numFmtId="0" fontId="23" fillId="4" borderId="95" xfId="0" applyFont="1" applyFill="1" applyBorder="1" applyAlignment="1">
      <alignment horizontal="center" vertical="center"/>
    </xf>
    <xf numFmtId="0" fontId="23" fillId="4" borderId="96" xfId="0" applyFont="1" applyFill="1" applyBorder="1" applyAlignment="1">
      <alignment horizontal="center" vertical="center"/>
    </xf>
    <xf numFmtId="168" fontId="23" fillId="4" borderId="98" xfId="0" applyNumberFormat="1" applyFont="1" applyFill="1" applyBorder="1" applyAlignment="1">
      <alignment horizontal="center" vertical="center"/>
    </xf>
    <xf numFmtId="21" fontId="23" fillId="4" borderId="99" xfId="0" applyNumberFormat="1" applyFont="1" applyFill="1" applyBorder="1" applyAlignment="1">
      <alignment horizontal="center" vertical="center"/>
    </xf>
    <xf numFmtId="168" fontId="23" fillId="4" borderId="8" xfId="0" applyNumberFormat="1" applyFont="1" applyFill="1" applyBorder="1" applyAlignment="1">
      <alignment horizontal="center" vertical="center"/>
    </xf>
    <xf numFmtId="21" fontId="23" fillId="4" borderId="92" xfId="0" applyNumberFormat="1" applyFont="1" applyFill="1" applyBorder="1" applyAlignment="1">
      <alignment horizontal="center" vertical="center"/>
    </xf>
    <xf numFmtId="168" fontId="23" fillId="4" borderId="101" xfId="0" applyNumberFormat="1" applyFont="1" applyFill="1" applyBorder="1" applyAlignment="1">
      <alignment horizontal="center" vertical="center"/>
    </xf>
    <xf numFmtId="21" fontId="23" fillId="4" borderId="102" xfId="0" applyNumberFormat="1" applyFont="1" applyFill="1" applyBorder="1" applyAlignment="1">
      <alignment horizontal="center" vertical="center"/>
    </xf>
    <xf numFmtId="168" fontId="23" fillId="4" borderId="79" xfId="0" applyNumberFormat="1" applyFont="1" applyFill="1" applyBorder="1" applyAlignment="1">
      <alignment horizontal="center" vertical="center"/>
    </xf>
    <xf numFmtId="21" fontId="23" fillId="4" borderId="93" xfId="0" applyNumberFormat="1" applyFont="1" applyFill="1" applyBorder="1" applyAlignment="1">
      <alignment horizontal="center" vertical="center"/>
    </xf>
    <xf numFmtId="169" fontId="17" fillId="4" borderId="97" xfId="0" applyNumberFormat="1" applyFont="1" applyFill="1" applyBorder="1" applyAlignment="1">
      <alignment horizontal="center" vertical="center"/>
    </xf>
    <xf numFmtId="169" fontId="17" fillId="4" borderId="100" xfId="0" applyNumberFormat="1" applyFont="1" applyFill="1" applyBorder="1" applyAlignment="1">
      <alignment horizontal="center" vertical="center"/>
    </xf>
    <xf numFmtId="169" fontId="17" fillId="4" borderId="77" xfId="0" applyNumberFormat="1" applyFont="1" applyFill="1" applyBorder="1" applyAlignment="1">
      <alignment horizontal="center" vertical="center"/>
    </xf>
    <xf numFmtId="169" fontId="17" fillId="4" borderId="78" xfId="0" applyNumberFormat="1" applyFont="1" applyFill="1" applyBorder="1" applyAlignment="1">
      <alignment horizontal="center" vertical="center"/>
    </xf>
    <xf numFmtId="0" fontId="19" fillId="10" borderId="0" xfId="0" applyFont="1" applyFill="1" applyBorder="1" applyAlignment="1">
      <alignment horizontal="center" vertical="center"/>
    </xf>
    <xf numFmtId="0" fontId="0" fillId="9" borderId="0" xfId="0" applyFill="1" applyBorder="1" applyAlignment="1">
      <alignment horizontal="center" vertical="center"/>
    </xf>
    <xf numFmtId="0" fontId="0" fillId="4" borderId="68" xfId="0" applyFill="1" applyBorder="1" applyAlignment="1">
      <alignment horizontal="center" vertical="center"/>
    </xf>
    <xf numFmtId="0" fontId="0" fillId="4" borderId="0" xfId="0" applyFill="1" applyBorder="1" applyAlignment="1">
      <alignment horizontal="center" vertical="center"/>
    </xf>
    <xf numFmtId="0" fontId="0" fillId="4" borderId="49" xfId="0" applyFill="1" applyBorder="1" applyAlignment="1">
      <alignment horizontal="center" vertical="center"/>
    </xf>
    <xf numFmtId="0" fontId="0" fillId="9" borderId="50" xfId="0" applyFill="1" applyBorder="1" applyAlignment="1">
      <alignment horizontal="left" vertical="center"/>
    </xf>
    <xf numFmtId="0" fontId="0" fillId="9" borderId="0" xfId="0" applyFill="1" applyBorder="1" applyAlignment="1">
      <alignment horizontal="left" vertical="center"/>
    </xf>
    <xf numFmtId="0" fontId="0" fillId="4" borderId="19" xfId="0" applyFill="1" applyBorder="1" applyAlignment="1">
      <alignment horizontal="center" vertical="center"/>
    </xf>
    <xf numFmtId="0" fontId="19" fillId="10" borderId="0" xfId="0" applyFont="1" applyFill="1" applyBorder="1" applyAlignment="1">
      <alignment horizontal="center" vertical="center"/>
    </xf>
    <xf numFmtId="45" fontId="0" fillId="4" borderId="19" xfId="0" applyNumberFormat="1" applyFill="1" applyBorder="1" applyAlignment="1">
      <alignment horizontal="center" vertical="center"/>
    </xf>
    <xf numFmtId="0" fontId="0" fillId="4" borderId="38" xfId="0" applyFill="1" applyBorder="1" applyAlignment="1">
      <alignment horizontal="center" vertical="center"/>
    </xf>
    <xf numFmtId="0" fontId="0" fillId="4" borderId="52" xfId="0" applyFill="1" applyBorder="1" applyAlignment="1">
      <alignment horizontal="center" vertical="center"/>
    </xf>
    <xf numFmtId="0" fontId="0" fillId="4" borderId="50" xfId="0" applyFill="1" applyBorder="1" applyAlignment="1">
      <alignment horizontal="center" vertical="center"/>
    </xf>
    <xf numFmtId="0" fontId="0" fillId="4" borderId="64" xfId="0" applyFill="1" applyBorder="1" applyAlignment="1">
      <alignment horizontal="center" vertical="center"/>
    </xf>
    <xf numFmtId="0" fontId="0" fillId="4" borderId="24" xfId="0" applyFill="1" applyBorder="1" applyAlignment="1">
      <alignment horizontal="center" vertical="center"/>
    </xf>
    <xf numFmtId="45" fontId="19" fillId="10" borderId="36" xfId="0" applyNumberFormat="1" applyFont="1" applyFill="1" applyBorder="1" applyAlignment="1">
      <alignment vertical="center"/>
    </xf>
    <xf numFmtId="45" fontId="19" fillId="10" borderId="36" xfId="0" applyNumberFormat="1" applyFont="1" applyFill="1" applyBorder="1" applyAlignment="1">
      <alignment horizontal="center" vertical="center"/>
    </xf>
    <xf numFmtId="45" fontId="19" fillId="10" borderId="0" xfId="0" applyNumberFormat="1" applyFont="1" applyFill="1" applyBorder="1" applyAlignment="1">
      <alignment vertical="center"/>
    </xf>
    <xf numFmtId="45" fontId="19" fillId="10" borderId="0" xfId="0" applyNumberFormat="1" applyFont="1" applyFill="1" applyBorder="1" applyAlignment="1">
      <alignment horizontal="center" vertical="center"/>
    </xf>
    <xf numFmtId="45" fontId="19" fillId="10" borderId="19" xfId="0" applyNumberFormat="1" applyFont="1" applyFill="1" applyBorder="1" applyAlignment="1">
      <alignment vertical="center"/>
    </xf>
    <xf numFmtId="45" fontId="19" fillId="10" borderId="19" xfId="0" applyNumberFormat="1" applyFont="1" applyFill="1" applyBorder="1" applyAlignment="1">
      <alignment horizontal="center" vertical="center"/>
    </xf>
    <xf numFmtId="45" fontId="19" fillId="10" borderId="37" xfId="0" applyNumberFormat="1" applyFont="1" applyFill="1" applyBorder="1" applyAlignment="1">
      <alignment vertical="center"/>
    </xf>
    <xf numFmtId="45" fontId="19" fillId="10" borderId="64" xfId="0" applyNumberFormat="1" applyFont="1" applyFill="1" applyBorder="1" applyAlignment="1">
      <alignment vertical="center"/>
    </xf>
    <xf numFmtId="0" fontId="0" fillId="9" borderId="50" xfId="0" applyFill="1" applyBorder="1" applyAlignment="1">
      <alignment horizontal="center" vertical="center"/>
    </xf>
    <xf numFmtId="0" fontId="0" fillId="9" borderId="0" xfId="0" applyFill="1" applyBorder="1" applyAlignment="1">
      <alignment horizontal="center" vertical="center"/>
    </xf>
    <xf numFmtId="0" fontId="0" fillId="4" borderId="68" xfId="0" applyFill="1" applyBorder="1" applyAlignment="1">
      <alignment horizontal="center" vertical="center"/>
    </xf>
    <xf numFmtId="0" fontId="0" fillId="4" borderId="0" xfId="0" applyFill="1" applyBorder="1" applyAlignment="1">
      <alignment horizontal="center" vertical="center"/>
    </xf>
    <xf numFmtId="0" fontId="0" fillId="4" borderId="49" xfId="0" applyFill="1" applyBorder="1" applyAlignment="1">
      <alignment horizontal="center" vertical="center"/>
    </xf>
    <xf numFmtId="0" fontId="0" fillId="9" borderId="64" xfId="0" applyFill="1" applyBorder="1" applyAlignment="1">
      <alignment horizontal="center" vertical="center"/>
    </xf>
    <xf numFmtId="0" fontId="0" fillId="9" borderId="24" xfId="0" applyFill="1" applyBorder="1" applyAlignment="1">
      <alignment horizontal="center" vertical="center"/>
    </xf>
    <xf numFmtId="0" fontId="0" fillId="9" borderId="50" xfId="0" applyFill="1" applyBorder="1" applyAlignment="1">
      <alignment horizontal="left" vertical="center"/>
    </xf>
    <xf numFmtId="0" fontId="0" fillId="9" borderId="0" xfId="0" applyFill="1" applyBorder="1" applyAlignment="1">
      <alignment horizontal="left" vertical="center"/>
    </xf>
    <xf numFmtId="0" fontId="10" fillId="4" borderId="25" xfId="0" applyFont="1" applyFill="1" applyBorder="1" applyAlignment="1">
      <alignment horizontal="center" vertical="center"/>
    </xf>
    <xf numFmtId="0" fontId="10" fillId="4" borderId="36" xfId="0" applyFont="1" applyFill="1" applyBorder="1" applyAlignment="1">
      <alignment horizontal="center" vertical="center"/>
    </xf>
    <xf numFmtId="0" fontId="10" fillId="4" borderId="23" xfId="0" applyFont="1" applyFill="1" applyBorder="1" applyAlignment="1">
      <alignment horizontal="center" vertical="center"/>
    </xf>
    <xf numFmtId="0" fontId="10" fillId="4" borderId="0" xfId="0" applyFont="1" applyFill="1" applyBorder="1" applyAlignment="1">
      <alignment horizontal="center" vertical="center"/>
    </xf>
    <xf numFmtId="0" fontId="10" fillId="4" borderId="28" xfId="0" applyFont="1" applyFill="1" applyBorder="1" applyAlignment="1">
      <alignment horizontal="center" vertical="center"/>
    </xf>
    <xf numFmtId="0" fontId="10" fillId="4" borderId="29" xfId="0" applyFont="1" applyFill="1" applyBorder="1" applyAlignment="1">
      <alignment horizontal="center" vertical="center"/>
    </xf>
    <xf numFmtId="14" fontId="20" fillId="2" borderId="44" xfId="0" applyNumberFormat="1" applyFont="1" applyFill="1" applyBorder="1" applyAlignment="1">
      <alignment horizontal="center" vertical="center"/>
    </xf>
    <xf numFmtId="14" fontId="20" fillId="2" borderId="55" xfId="0" applyNumberFormat="1" applyFont="1" applyFill="1" applyBorder="1" applyAlignment="1">
      <alignment horizontal="center" vertical="center"/>
    </xf>
    <xf numFmtId="14" fontId="20" fillId="2" borderId="69" xfId="0" applyNumberFormat="1" applyFont="1" applyFill="1" applyBorder="1" applyAlignment="1">
      <alignment horizontal="center" vertical="center"/>
    </xf>
    <xf numFmtId="14" fontId="20" fillId="2" borderId="46" xfId="0" applyNumberFormat="1" applyFont="1" applyFill="1" applyBorder="1" applyAlignment="1">
      <alignment horizontal="center" vertical="center"/>
    </xf>
    <xf numFmtId="0" fontId="0" fillId="5" borderId="70" xfId="0" applyFill="1" applyBorder="1" applyAlignment="1">
      <alignment horizontal="center" vertical="center"/>
    </xf>
    <xf numFmtId="0" fontId="0" fillId="5" borderId="56" xfId="0" applyFill="1" applyBorder="1" applyAlignment="1">
      <alignment horizontal="center" vertical="center"/>
    </xf>
    <xf numFmtId="0" fontId="0" fillId="5" borderId="57" xfId="0" applyFill="1" applyBorder="1" applyAlignment="1">
      <alignment horizontal="center" vertical="center"/>
    </xf>
    <xf numFmtId="0" fontId="0" fillId="5" borderId="58" xfId="0" applyFill="1" applyBorder="1" applyAlignment="1">
      <alignment horizontal="center" vertical="center"/>
    </xf>
    <xf numFmtId="0" fontId="0" fillId="5" borderId="39" xfId="0" applyFill="1" applyBorder="1" applyAlignment="1">
      <alignment horizontal="center" vertical="center"/>
    </xf>
    <xf numFmtId="0" fontId="0" fillId="5" borderId="59" xfId="0" applyFill="1" applyBorder="1" applyAlignment="1">
      <alignment horizontal="center" vertical="center"/>
    </xf>
    <xf numFmtId="0" fontId="0" fillId="4" borderId="45" xfId="0" applyFill="1" applyBorder="1" applyAlignment="1">
      <alignment horizontal="center" vertical="center"/>
    </xf>
    <xf numFmtId="0" fontId="0" fillId="4" borderId="33" xfId="0" applyFill="1" applyBorder="1" applyAlignment="1">
      <alignment horizontal="center" vertical="center"/>
    </xf>
    <xf numFmtId="0" fontId="0" fillId="4" borderId="51" xfId="0" applyFill="1" applyBorder="1" applyAlignment="1">
      <alignment horizontal="center" vertical="center"/>
    </xf>
    <xf numFmtId="0" fontId="0" fillId="9" borderId="33" xfId="0" applyFill="1" applyBorder="1" applyAlignment="1">
      <alignment horizontal="center" vertical="center"/>
    </xf>
    <xf numFmtId="0" fontId="0" fillId="9" borderId="71" xfId="0" applyFill="1" applyBorder="1" applyAlignment="1">
      <alignment horizontal="center" vertical="center"/>
    </xf>
    <xf numFmtId="0" fontId="0" fillId="9" borderId="34" xfId="0" applyFill="1" applyBorder="1" applyAlignment="1">
      <alignment horizontal="center" vertical="center"/>
    </xf>
    <xf numFmtId="0" fontId="0" fillId="4" borderId="53" xfId="0" applyFill="1" applyBorder="1" applyAlignment="1">
      <alignment horizontal="center" vertical="center"/>
    </xf>
    <xf numFmtId="0" fontId="0" fillId="4" borderId="19" xfId="0" applyFill="1" applyBorder="1" applyAlignment="1">
      <alignment horizontal="center" vertical="center"/>
    </xf>
    <xf numFmtId="0" fontId="0" fillId="4" borderId="65" xfId="0" applyFill="1" applyBorder="1" applyAlignment="1">
      <alignment horizontal="center" vertical="center"/>
    </xf>
    <xf numFmtId="0" fontId="0" fillId="4" borderId="27" xfId="0" applyFill="1" applyBorder="1" applyAlignment="1">
      <alignment horizontal="center" vertical="center"/>
    </xf>
    <xf numFmtId="0" fontId="10" fillId="4" borderId="26" xfId="0" applyFont="1" applyFill="1" applyBorder="1" applyAlignment="1">
      <alignment horizontal="center" vertical="center"/>
    </xf>
    <xf numFmtId="0" fontId="10" fillId="4" borderId="19" xfId="0" applyFont="1" applyFill="1" applyBorder="1" applyAlignment="1">
      <alignment horizontal="center" vertical="center"/>
    </xf>
    <xf numFmtId="165" fontId="19" fillId="10" borderId="35" xfId="0" applyNumberFormat="1" applyFont="1" applyFill="1" applyBorder="1" applyAlignment="1">
      <alignment horizontal="center" vertical="center"/>
    </xf>
    <xf numFmtId="165" fontId="19" fillId="10" borderId="36" xfId="0" applyNumberFormat="1" applyFont="1" applyFill="1" applyBorder="1" applyAlignment="1">
      <alignment horizontal="center" vertical="center"/>
    </xf>
    <xf numFmtId="165" fontId="19" fillId="10" borderId="68" xfId="0" applyNumberFormat="1" applyFont="1" applyFill="1" applyBorder="1" applyAlignment="1">
      <alignment horizontal="center" vertical="center"/>
    </xf>
    <xf numFmtId="165" fontId="19" fillId="10" borderId="0" xfId="0" applyNumberFormat="1" applyFont="1" applyFill="1" applyBorder="1" applyAlignment="1">
      <alignment horizontal="center" vertical="center"/>
    </xf>
    <xf numFmtId="165" fontId="19" fillId="10" borderId="38" xfId="0" applyNumberFormat="1" applyFont="1" applyFill="1" applyBorder="1" applyAlignment="1">
      <alignment horizontal="center" vertical="center"/>
    </xf>
    <xf numFmtId="165" fontId="19" fillId="10" borderId="19" xfId="0" applyNumberFormat="1" applyFont="1" applyFill="1" applyBorder="1" applyAlignment="1">
      <alignment horizontal="center" vertical="center"/>
    </xf>
    <xf numFmtId="0" fontId="19" fillId="2" borderId="35" xfId="0" applyFont="1" applyFill="1" applyBorder="1" applyAlignment="1">
      <alignment horizontal="center" vertical="center"/>
    </xf>
    <xf numFmtId="0" fontId="19" fillId="2" borderId="36" xfId="0" applyFont="1" applyFill="1" applyBorder="1" applyAlignment="1">
      <alignment horizontal="center" vertical="center"/>
    </xf>
    <xf numFmtId="0" fontId="19" fillId="2" borderId="37" xfId="0" applyFont="1" applyFill="1" applyBorder="1" applyAlignment="1">
      <alignment horizontal="center" vertical="center"/>
    </xf>
    <xf numFmtId="169" fontId="17" fillId="4" borderId="68" xfId="0" applyNumberFormat="1" applyFont="1" applyFill="1" applyBorder="1" applyAlignment="1">
      <alignment horizontal="center" vertical="center"/>
    </xf>
    <xf numFmtId="169" fontId="17" fillId="4" borderId="49" xfId="0" applyNumberFormat="1" applyFont="1" applyFill="1" applyBorder="1" applyAlignment="1">
      <alignment horizontal="center" vertical="center"/>
    </xf>
    <xf numFmtId="169" fontId="17" fillId="4" borderId="38" xfId="0" applyNumberFormat="1" applyFont="1" applyFill="1" applyBorder="1" applyAlignment="1">
      <alignment horizontal="center" vertical="center"/>
    </xf>
    <xf numFmtId="169" fontId="17" fillId="4" borderId="52" xfId="0" applyNumberFormat="1" applyFont="1" applyFill="1" applyBorder="1" applyAlignment="1">
      <alignment horizontal="center" vertical="center"/>
    </xf>
    <xf numFmtId="45" fontId="23" fillId="4" borderId="50" xfId="0" applyNumberFormat="1" applyFont="1" applyFill="1" applyBorder="1" applyAlignment="1">
      <alignment horizontal="center" vertical="center"/>
    </xf>
    <xf numFmtId="45" fontId="23" fillId="4" borderId="16" xfId="0" applyNumberFormat="1" applyFont="1" applyFill="1" applyBorder="1" applyAlignment="1">
      <alignment horizontal="center" vertical="center"/>
    </xf>
    <xf numFmtId="1" fontId="23" fillId="4" borderId="53" xfId="0" applyNumberFormat="1" applyFont="1" applyFill="1" applyBorder="1" applyAlignment="1">
      <alignment horizontal="center" vertical="center"/>
    </xf>
    <xf numFmtId="1" fontId="23" fillId="4" borderId="18" xfId="0" applyNumberFormat="1" applyFont="1" applyFill="1" applyBorder="1" applyAlignment="1">
      <alignment horizontal="center" vertical="center"/>
    </xf>
    <xf numFmtId="168" fontId="23" fillId="4" borderId="103" xfId="0" applyNumberFormat="1" applyFont="1" applyFill="1" applyBorder="1" applyAlignment="1">
      <alignment horizontal="center" vertical="center"/>
    </xf>
    <xf numFmtId="168" fontId="23" fillId="4" borderId="64" xfId="0" applyNumberFormat="1" applyFont="1" applyFill="1" applyBorder="1" applyAlignment="1">
      <alignment horizontal="center" vertical="center"/>
    </xf>
    <xf numFmtId="45" fontId="25" fillId="0" borderId="104" xfId="0" applyNumberFormat="1" applyFont="1" applyFill="1" applyBorder="1" applyAlignment="1">
      <alignment horizontal="center" vertical="center"/>
    </xf>
    <xf numFmtId="45" fontId="25" fillId="0" borderId="65" xfId="0" applyNumberFormat="1" applyFont="1" applyFill="1" applyBorder="1" applyAlignment="1">
      <alignment horizontal="center" vertical="center"/>
    </xf>
    <xf numFmtId="16" fontId="17" fillId="5" borderId="0" xfId="0" applyNumberFormat="1" applyFont="1" applyFill="1" applyAlignment="1">
      <alignment horizontal="center" vertical="center"/>
    </xf>
    <xf numFmtId="0" fontId="0" fillId="4" borderId="68" xfId="0" applyFill="1" applyBorder="1" applyAlignment="1">
      <alignment horizontal="center"/>
    </xf>
    <xf numFmtId="0" fontId="0" fillId="4" borderId="0" xfId="0" applyFill="1" applyBorder="1" applyAlignment="1">
      <alignment horizontal="center"/>
    </xf>
    <xf numFmtId="0" fontId="0" fillId="5" borderId="0" xfId="0" applyFill="1" applyAlignment="1">
      <alignment horizontal="center"/>
    </xf>
    <xf numFmtId="0" fontId="3" fillId="6" borderId="35" xfId="0" applyFont="1" applyFill="1" applyBorder="1" applyAlignment="1">
      <alignment horizontal="center" vertical="center"/>
    </xf>
    <xf numFmtId="0" fontId="3" fillId="6" borderId="36" xfId="0" applyFont="1" applyFill="1" applyBorder="1" applyAlignment="1">
      <alignment horizontal="center" vertical="center"/>
    </xf>
    <xf numFmtId="0" fontId="3" fillId="6" borderId="37" xfId="0" applyFont="1" applyFill="1" applyBorder="1" applyAlignment="1">
      <alignment horizontal="center" vertical="center"/>
    </xf>
    <xf numFmtId="0" fontId="0" fillId="4" borderId="38" xfId="0" applyFill="1" applyBorder="1" applyAlignment="1">
      <alignment horizontal="center"/>
    </xf>
    <xf numFmtId="0" fontId="0" fillId="4" borderId="19" xfId="0" applyFill="1" applyBorder="1" applyAlignment="1">
      <alignment horizontal="center"/>
    </xf>
    <xf numFmtId="0" fontId="5" fillId="4" borderId="68" xfId="0" applyFont="1" applyFill="1" applyBorder="1" applyAlignment="1">
      <alignment horizontal="center" vertical="center"/>
    </xf>
    <xf numFmtId="0" fontId="5" fillId="4" borderId="0" xfId="0" applyFont="1" applyFill="1" applyBorder="1" applyAlignment="1">
      <alignment horizontal="center" vertical="center"/>
    </xf>
    <xf numFmtId="0" fontId="5" fillId="4" borderId="64" xfId="0" applyFont="1" applyFill="1" applyBorder="1" applyAlignment="1">
      <alignment horizontal="center" vertical="center"/>
    </xf>
    <xf numFmtId="0" fontId="24" fillId="4" borderId="0" xfId="0" applyFont="1" applyFill="1" applyBorder="1" applyAlignment="1">
      <alignment horizontal="center"/>
    </xf>
    <xf numFmtId="0" fontId="24" fillId="4" borderId="64" xfId="0" applyFont="1" applyFill="1" applyBorder="1" applyAlignment="1">
      <alignment horizontal="center"/>
    </xf>
    <xf numFmtId="0" fontId="5" fillId="10" borderId="25" xfId="0" applyFont="1" applyFill="1" applyBorder="1" applyAlignment="1">
      <alignment horizontal="center" vertical="center"/>
    </xf>
    <xf numFmtId="0" fontId="5" fillId="10" borderId="36" xfId="0" applyFont="1" applyFill="1" applyBorder="1" applyAlignment="1">
      <alignment horizontal="center" vertical="center"/>
    </xf>
    <xf numFmtId="0" fontId="5" fillId="10" borderId="23" xfId="0" applyFont="1" applyFill="1" applyBorder="1" applyAlignment="1">
      <alignment horizontal="center" vertical="center"/>
    </xf>
    <xf numFmtId="0" fontId="5" fillId="10" borderId="0" xfId="0" applyFont="1" applyFill="1" applyBorder="1" applyAlignment="1">
      <alignment horizontal="center" vertical="center"/>
    </xf>
    <xf numFmtId="0" fontId="5" fillId="10" borderId="26" xfId="0" applyFont="1" applyFill="1" applyBorder="1" applyAlignment="1">
      <alignment horizontal="center" vertical="center"/>
    </xf>
    <xf numFmtId="0" fontId="5" fillId="10" borderId="19" xfId="0" applyFont="1" applyFill="1" applyBorder="1" applyAlignment="1">
      <alignment horizontal="center" vertical="center"/>
    </xf>
    <xf numFmtId="0" fontId="6" fillId="7" borderId="0" xfId="0" applyFont="1" applyFill="1" applyAlignment="1">
      <alignment horizontal="center" vertical="center"/>
    </xf>
    <xf numFmtId="0" fontId="11" fillId="8" borderId="20" xfId="0" applyFont="1" applyFill="1" applyBorder="1" applyAlignment="1">
      <alignment horizontal="center" vertical="center"/>
    </xf>
    <xf numFmtId="0" fontId="11" fillId="8" borderId="21" xfId="0" applyFont="1" applyFill="1" applyBorder="1" applyAlignment="1">
      <alignment horizontal="center" vertical="center"/>
    </xf>
    <xf numFmtId="0" fontId="11" fillId="8" borderId="22" xfId="0" applyFont="1" applyFill="1" applyBorder="1" applyAlignment="1">
      <alignment horizontal="center" vertical="center"/>
    </xf>
    <xf numFmtId="0" fontId="5" fillId="4" borderId="33" xfId="0" applyFont="1" applyFill="1" applyBorder="1" applyAlignment="1">
      <alignment horizontal="center" vertical="center"/>
    </xf>
    <xf numFmtId="0" fontId="5" fillId="4" borderId="34" xfId="0" applyFont="1" applyFill="1" applyBorder="1" applyAlignment="1">
      <alignment horizontal="center" vertical="center"/>
    </xf>
    <xf numFmtId="0" fontId="0" fillId="4" borderId="68" xfId="0" applyFill="1" applyBorder="1" applyAlignment="1">
      <alignment horizontal="left" vertical="center" wrapText="1"/>
    </xf>
    <xf numFmtId="0" fontId="0" fillId="4" borderId="0" xfId="0" applyFill="1" applyBorder="1" applyAlignment="1">
      <alignment horizontal="left" vertical="center" wrapText="1"/>
    </xf>
    <xf numFmtId="0" fontId="0" fillId="4" borderId="24" xfId="0" applyFill="1" applyBorder="1" applyAlignment="1">
      <alignment horizontal="left" vertical="center" wrapText="1"/>
    </xf>
    <xf numFmtId="0" fontId="0" fillId="4" borderId="64" xfId="0" applyFill="1" applyBorder="1" applyAlignment="1">
      <alignment horizontal="left" vertical="center" wrapText="1"/>
    </xf>
    <xf numFmtId="0" fontId="3" fillId="6" borderId="31" xfId="0" applyFont="1" applyFill="1" applyBorder="1" applyAlignment="1">
      <alignment horizontal="center" vertical="center"/>
    </xf>
    <xf numFmtId="0" fontId="3" fillId="6" borderId="48" xfId="0" applyFont="1" applyFill="1" applyBorder="1" applyAlignment="1">
      <alignment horizontal="center" vertical="center"/>
    </xf>
    <xf numFmtId="0" fontId="3" fillId="6" borderId="17" xfId="0" applyFont="1" applyFill="1" applyBorder="1" applyAlignment="1">
      <alignment horizontal="center" vertical="center"/>
    </xf>
    <xf numFmtId="0" fontId="3" fillId="6" borderId="67" xfId="0" applyFont="1" applyFill="1" applyBorder="1" applyAlignment="1">
      <alignment horizontal="center" vertical="center"/>
    </xf>
    <xf numFmtId="0" fontId="3" fillId="6" borderId="63" xfId="0" applyFont="1" applyFill="1" applyBorder="1" applyAlignment="1">
      <alignment horizontal="center" vertical="center"/>
    </xf>
    <xf numFmtId="0" fontId="3" fillId="6" borderId="62" xfId="0" applyFont="1" applyFill="1" applyBorder="1" applyAlignment="1">
      <alignment horizontal="center" vertical="center"/>
    </xf>
    <xf numFmtId="0" fontId="3" fillId="6" borderId="32" xfId="0" applyFont="1" applyFill="1" applyBorder="1" applyAlignment="1">
      <alignment horizontal="center" vertical="center"/>
    </xf>
    <xf numFmtId="0" fontId="19" fillId="10" borderId="0" xfId="0" applyFont="1" applyFill="1" applyBorder="1" applyAlignment="1">
      <alignment horizontal="center" vertical="center"/>
    </xf>
    <xf numFmtId="45" fontId="19" fillId="10" borderId="36" xfId="0" applyNumberFormat="1" applyFont="1" applyFill="1" applyBorder="1" applyAlignment="1">
      <alignment horizontal="left" vertical="center"/>
    </xf>
    <xf numFmtId="0" fontId="19" fillId="10" borderId="36" xfId="0" applyFont="1" applyFill="1" applyBorder="1" applyAlignment="1">
      <alignment horizontal="center" vertical="center"/>
    </xf>
    <xf numFmtId="45" fontId="19" fillId="10" borderId="0" xfId="0" applyNumberFormat="1" applyFont="1" applyFill="1" applyBorder="1" applyAlignment="1">
      <alignment horizontal="left" vertical="center"/>
    </xf>
    <xf numFmtId="0" fontId="13" fillId="2" borderId="0" xfId="0" applyFont="1" applyFill="1" applyAlignment="1">
      <alignment horizontal="center" vertical="center"/>
    </xf>
    <xf numFmtId="0" fontId="8" fillId="4" borderId="0" xfId="0" applyFont="1" applyFill="1" applyAlignment="1">
      <alignment horizontal="center" vertical="center"/>
    </xf>
    <xf numFmtId="21" fontId="0" fillId="4" borderId="0" xfId="0" applyNumberFormat="1" applyFill="1" applyAlignment="1">
      <alignment horizontal="center" vertical="center"/>
    </xf>
    <xf numFmtId="0" fontId="0" fillId="4" borderId="0" xfId="0" applyFill="1" applyAlignment="1">
      <alignment horizontal="center" vertical="center"/>
    </xf>
    <xf numFmtId="0" fontId="7" fillId="4" borderId="0" xfId="0" applyFont="1" applyFill="1" applyAlignment="1">
      <alignment horizontal="center" vertical="center"/>
    </xf>
    <xf numFmtId="0" fontId="0" fillId="5" borderId="81" xfId="0" applyFill="1" applyBorder="1" applyAlignment="1">
      <alignment horizontal="center" vertical="center"/>
    </xf>
    <xf numFmtId="0" fontId="0" fillId="5" borderId="82" xfId="0" applyFill="1" applyBorder="1" applyAlignment="1">
      <alignment horizontal="center" vertical="center"/>
    </xf>
    <xf numFmtId="0" fontId="0" fillId="5" borderId="83" xfId="0" applyFill="1" applyBorder="1" applyAlignment="1">
      <alignment horizontal="center" vertical="center"/>
    </xf>
    <xf numFmtId="0" fontId="0" fillId="5" borderId="84" xfId="0" applyFill="1" applyBorder="1" applyAlignment="1">
      <alignment horizontal="center" vertical="center"/>
    </xf>
    <xf numFmtId="0" fontId="0" fillId="5" borderId="85" xfId="0" applyFill="1" applyBorder="1" applyAlignment="1">
      <alignment horizontal="center" vertical="center"/>
    </xf>
    <xf numFmtId="0" fontId="0" fillId="5" borderId="86" xfId="0" applyFill="1" applyBorder="1" applyAlignment="1">
      <alignment horizontal="center" vertical="center"/>
    </xf>
    <xf numFmtId="0" fontId="0" fillId="5" borderId="87" xfId="0" applyFill="1" applyBorder="1" applyAlignment="1">
      <alignment horizontal="center" vertical="center"/>
    </xf>
    <xf numFmtId="0" fontId="0" fillId="5" borderId="88" xfId="0" applyFill="1" applyBorder="1" applyAlignment="1">
      <alignment horizontal="center" vertical="center"/>
    </xf>
    <xf numFmtId="21" fontId="0" fillId="4" borderId="0" xfId="0" applyNumberFormat="1" applyFill="1" applyBorder="1" applyAlignment="1">
      <alignment horizontal="center" vertical="center"/>
    </xf>
    <xf numFmtId="21" fontId="0" fillId="4" borderId="16" xfId="0" applyNumberFormat="1" applyFill="1" applyBorder="1" applyAlignment="1">
      <alignment horizontal="center" vertical="center"/>
    </xf>
    <xf numFmtId="45" fontId="0" fillId="4" borderId="41" xfId="0" applyNumberFormat="1" applyFill="1" applyBorder="1" applyAlignment="1">
      <alignment horizontal="center" vertical="center"/>
    </xf>
    <xf numFmtId="45" fontId="0" fillId="4" borderId="80" xfId="0" applyNumberFormat="1" applyFill="1" applyBorder="1" applyAlignment="1">
      <alignment horizontal="center" vertical="center"/>
    </xf>
    <xf numFmtId="21" fontId="0" fillId="4" borderId="64" xfId="0" applyNumberFormat="1" applyFill="1" applyBorder="1" applyAlignment="1">
      <alignment horizontal="center" vertical="center"/>
    </xf>
    <xf numFmtId="45" fontId="0" fillId="4" borderId="42" xfId="0" applyNumberFormat="1" applyFill="1" applyBorder="1" applyAlignment="1">
      <alignment horizontal="center" vertical="center"/>
    </xf>
    <xf numFmtId="45" fontId="0" fillId="4" borderId="19" xfId="0" applyNumberFormat="1" applyFill="1" applyBorder="1" applyAlignment="1">
      <alignment horizontal="center" vertical="center"/>
    </xf>
    <xf numFmtId="45" fontId="0" fillId="4" borderId="18" xfId="0" applyNumberFormat="1" applyFill="1" applyBorder="1" applyAlignment="1">
      <alignment horizontal="center" vertical="center"/>
    </xf>
    <xf numFmtId="45" fontId="0" fillId="4" borderId="65" xfId="0" applyNumberFormat="1" applyFill="1" applyBorder="1" applyAlignment="1">
      <alignment horizontal="center" vertical="center"/>
    </xf>
    <xf numFmtId="45" fontId="12" fillId="5" borderId="0" xfId="0" applyNumberFormat="1" applyFont="1" applyFill="1" applyAlignment="1">
      <alignment horizontal="center"/>
    </xf>
    <xf numFmtId="0" fontId="0" fillId="4" borderId="35" xfId="0" applyFill="1" applyBorder="1" applyAlignment="1">
      <alignment horizontal="left" vertical="center" wrapText="1"/>
    </xf>
    <xf numFmtId="0" fontId="0" fillId="4" borderId="36" xfId="0" applyFill="1" applyBorder="1" applyAlignment="1">
      <alignment horizontal="left" vertical="center" wrapText="1"/>
    </xf>
    <xf numFmtId="0" fontId="0" fillId="4" borderId="38" xfId="0" applyFill="1" applyBorder="1" applyAlignment="1">
      <alignment horizontal="left" vertical="center" wrapText="1"/>
    </xf>
    <xf numFmtId="0" fontId="0" fillId="4" borderId="19" xfId="0" applyFill="1" applyBorder="1" applyAlignment="1">
      <alignment horizontal="left" vertical="center" wrapText="1"/>
    </xf>
    <xf numFmtId="0" fontId="0" fillId="4" borderId="65" xfId="0" applyFill="1" applyBorder="1" applyAlignment="1">
      <alignment horizontal="left" vertical="center" wrapText="1"/>
    </xf>
    <xf numFmtId="14" fontId="7" fillId="4" borderId="0" xfId="0" applyNumberFormat="1" applyFont="1" applyFill="1" applyAlignment="1">
      <alignment horizontal="center" vertical="center"/>
    </xf>
    <xf numFmtId="0" fontId="16" fillId="5" borderId="0" xfId="0" applyFont="1" applyFill="1" applyAlignment="1">
      <alignment horizontal="center" vertical="center"/>
    </xf>
    <xf numFmtId="0" fontId="3" fillId="5" borderId="0" xfId="0" applyFont="1" applyFill="1" applyAlignment="1">
      <alignment horizontal="left" vertical="center"/>
    </xf>
    <xf numFmtId="45" fontId="1" fillId="3" borderId="0" xfId="0" applyNumberFormat="1" applyFont="1" applyFill="1" applyBorder="1" applyAlignment="1">
      <alignment horizontal="center" vertical="center"/>
    </xf>
    <xf numFmtId="0" fontId="0" fillId="4" borderId="50" xfId="0" applyFill="1" applyBorder="1" applyAlignment="1">
      <alignment horizontal="center" vertical="center"/>
    </xf>
    <xf numFmtId="0" fontId="0" fillId="4" borderId="64" xfId="0" applyFill="1" applyBorder="1" applyAlignment="1">
      <alignment horizontal="center" vertical="center"/>
    </xf>
    <xf numFmtId="0" fontId="0" fillId="4" borderId="24" xfId="0" applyFill="1" applyBorder="1" applyAlignment="1">
      <alignment horizontal="center" vertical="center"/>
    </xf>
    <xf numFmtId="0" fontId="5" fillId="4" borderId="49" xfId="0" applyFont="1" applyFill="1" applyBorder="1" applyAlignment="1">
      <alignment horizontal="center" vertical="center"/>
    </xf>
    <xf numFmtId="0" fontId="0" fillId="4" borderId="38" xfId="0" applyFill="1" applyBorder="1" applyAlignment="1">
      <alignment horizontal="center" vertical="center"/>
    </xf>
    <xf numFmtId="0" fontId="0" fillId="4" borderId="52" xfId="0" applyFill="1" applyBorder="1" applyAlignment="1">
      <alignment horizontal="center" vertical="center"/>
    </xf>
    <xf numFmtId="0" fontId="0" fillId="9" borderId="53" xfId="0" applyFill="1" applyBorder="1" applyAlignment="1">
      <alignment horizontal="center" vertical="center"/>
    </xf>
    <xf numFmtId="0" fontId="0" fillId="9" borderId="19" xfId="0" applyFill="1" applyBorder="1" applyAlignment="1">
      <alignment horizontal="center" vertical="center"/>
    </xf>
    <xf numFmtId="0" fontId="0" fillId="9" borderId="65" xfId="0" applyFill="1" applyBorder="1" applyAlignment="1">
      <alignment horizontal="center" vertical="center"/>
    </xf>
    <xf numFmtId="0" fontId="0" fillId="5" borderId="43" xfId="0" applyFill="1" applyBorder="1" applyAlignment="1">
      <alignment horizontal="center" vertical="center"/>
    </xf>
    <xf numFmtId="0" fontId="0" fillId="5" borderId="72" xfId="0" applyFill="1" applyBorder="1" applyAlignment="1">
      <alignment horizontal="center" vertical="center"/>
    </xf>
    <xf numFmtId="0" fontId="0" fillId="5" borderId="73" xfId="0" applyFill="1" applyBorder="1" applyAlignment="1">
      <alignment horizontal="center" vertical="center"/>
    </xf>
    <xf numFmtId="165" fontId="9" fillId="6" borderId="0" xfId="0" applyNumberFormat="1" applyFont="1" applyFill="1" applyBorder="1" applyAlignment="1">
      <alignment horizontal="center" vertical="center"/>
    </xf>
    <xf numFmtId="0" fontId="11" fillId="8" borderId="74" xfId="0" applyFont="1" applyFill="1" applyBorder="1" applyAlignment="1">
      <alignment horizontal="center" vertical="center"/>
    </xf>
    <xf numFmtId="0" fontId="11" fillId="8" borderId="75" xfId="0" applyFont="1" applyFill="1" applyBorder="1" applyAlignment="1">
      <alignment horizontal="center" vertical="center"/>
    </xf>
    <xf numFmtId="0" fontId="11" fillId="8" borderId="76" xfId="0" applyFont="1" applyFill="1" applyBorder="1" applyAlignment="1">
      <alignment horizontal="center" vertical="center"/>
    </xf>
    <xf numFmtId="0" fontId="5" fillId="4" borderId="24" xfId="0" applyFont="1" applyFill="1" applyBorder="1" applyAlignment="1">
      <alignment horizontal="center" vertical="center"/>
    </xf>
    <xf numFmtId="0" fontId="5" fillId="10" borderId="37" xfId="0" applyFont="1" applyFill="1" applyBorder="1" applyAlignment="1">
      <alignment horizontal="center" vertical="center"/>
    </xf>
    <xf numFmtId="0" fontId="5" fillId="10" borderId="64" xfId="0" applyFont="1" applyFill="1" applyBorder="1" applyAlignment="1">
      <alignment horizontal="center" vertical="center"/>
    </xf>
    <xf numFmtId="0" fontId="5" fillId="10" borderId="65" xfId="0" applyFont="1" applyFill="1" applyBorder="1" applyAlignment="1">
      <alignment horizontal="center" vertical="center"/>
    </xf>
    <xf numFmtId="0" fontId="10" fillId="4" borderId="37" xfId="0" applyFont="1" applyFill="1" applyBorder="1" applyAlignment="1">
      <alignment horizontal="center" vertical="center"/>
    </xf>
    <xf numFmtId="0" fontId="10" fillId="4" borderId="64" xfId="0" applyFont="1" applyFill="1" applyBorder="1" applyAlignment="1">
      <alignment horizontal="center" vertical="center"/>
    </xf>
    <xf numFmtId="0" fontId="10" fillId="4" borderId="65" xfId="0" applyFont="1" applyFill="1" applyBorder="1" applyAlignment="1">
      <alignment horizontal="center" vertical="center"/>
    </xf>
    <xf numFmtId="0" fontId="10" fillId="4" borderId="66" xfId="0" applyFont="1" applyFill="1" applyBorder="1" applyAlignment="1">
      <alignment horizontal="center" vertical="center"/>
    </xf>
    <xf numFmtId="0" fontId="1" fillId="3" borderId="13" xfId="0" applyFont="1" applyFill="1" applyBorder="1" applyAlignment="1">
      <alignment horizontal="center" vertical="center" wrapText="1"/>
    </xf>
    <xf numFmtId="0" fontId="1" fillId="3" borderId="15" xfId="0" applyFont="1" applyFill="1" applyBorder="1" applyAlignment="1">
      <alignment horizontal="center" vertical="center" wrapText="1"/>
    </xf>
    <xf numFmtId="165" fontId="4" fillId="2" borderId="1" xfId="0" applyNumberFormat="1" applyFont="1" applyFill="1" applyBorder="1" applyAlignment="1">
      <alignment horizontal="center" vertical="center"/>
    </xf>
    <xf numFmtId="165" fontId="4" fillId="2" borderId="2" xfId="0" applyNumberFormat="1" applyFont="1" applyFill="1" applyBorder="1" applyAlignment="1">
      <alignment horizontal="center" vertical="center"/>
    </xf>
    <xf numFmtId="165" fontId="4" fillId="2" borderId="3" xfId="0" applyNumberFormat="1" applyFont="1" applyFill="1" applyBorder="1" applyAlignment="1">
      <alignment horizontal="center" vertical="center"/>
    </xf>
    <xf numFmtId="0" fontId="4" fillId="2" borderId="1" xfId="0" applyFont="1" applyFill="1" applyBorder="1" applyAlignment="1">
      <alignment horizontal="center" vertical="center"/>
    </xf>
    <xf numFmtId="0" fontId="4" fillId="2" borderId="2" xfId="0" applyFont="1" applyFill="1" applyBorder="1" applyAlignment="1">
      <alignment horizontal="center" vertical="center"/>
    </xf>
    <xf numFmtId="0" fontId="4" fillId="2" borderId="3" xfId="0" applyFont="1" applyFill="1" applyBorder="1" applyAlignment="1">
      <alignment horizontal="center" vertical="center"/>
    </xf>
  </cellXfs>
  <cellStyles count="2">
    <cellStyle name="Comma" xfId="1" builtinId="3"/>
    <cellStyle name="Normal" xfId="0" builtinId="0"/>
  </cellStyles>
  <dxfs count="984">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s>
  <tableStyles count="0" defaultTableStyle="TableStyleMedium2" defaultPivotStyle="PivotStyleLight16"/>
  <colors>
    <mruColors>
      <color rgb="FFE56461"/>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theme" Target="theme/theme1.xml"/><Relationship Id="rId6" Type="http://schemas.openxmlformats.org/officeDocument/2006/relationships/styles" Target="styles.xml"/><Relationship Id="rId7" Type="http://schemas.openxmlformats.org/officeDocument/2006/relationships/sharedStrings" Target="sharedStrings.xml"/><Relationship Id="rId8" Type="http://schemas.openxmlformats.org/officeDocument/2006/relationships/calcChain" Target="calcChain.xml"/><Relationship Id="rId9"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drawings/drawing1.xml><?xml version="1.0" encoding="utf-8"?>
<xdr:wsDr xmlns:xdr="http://schemas.openxmlformats.org/drawingml/2006/spreadsheetDrawing" xmlns:a="http://schemas.openxmlformats.org/drawingml/2006/main">
  <xdr:twoCellAnchor>
    <xdr:from>
      <xdr:col>18</xdr:col>
      <xdr:colOff>285750</xdr:colOff>
      <xdr:row>13</xdr:row>
      <xdr:rowOff>114300</xdr:rowOff>
    </xdr:from>
    <xdr:to>
      <xdr:col>21</xdr:col>
      <xdr:colOff>200025</xdr:colOff>
      <xdr:row>17</xdr:row>
      <xdr:rowOff>95250</xdr:rowOff>
    </xdr:to>
    <xdr:sp macro="[0]!CargarDato" textlink="">
      <xdr:nvSpPr>
        <xdr:cNvPr id="2" name="Rectángulo 1"/>
        <xdr:cNvSpPr/>
      </xdr:nvSpPr>
      <xdr:spPr>
        <a:xfrm>
          <a:off x="7800975" y="2714625"/>
          <a:ext cx="1257300" cy="74295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fr-FR" sz="1100"/>
            <a:t>GENERAR</a:t>
          </a:r>
          <a:r>
            <a:rPr lang="fr-FR" sz="1100" baseline="0"/>
            <a:t> PLAN DE ENTRENAMIENTO Y CALENDARIO</a:t>
          </a:r>
          <a:endParaRPr lang="fr-FR"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295275</xdr:colOff>
      <xdr:row>191</xdr:row>
      <xdr:rowOff>66675</xdr:rowOff>
    </xdr:from>
    <xdr:to>
      <xdr:col>8</xdr:col>
      <xdr:colOff>0</xdr:colOff>
      <xdr:row>192</xdr:row>
      <xdr:rowOff>133350</xdr:rowOff>
    </xdr:to>
    <xdr:sp macro="" textlink="">
      <xdr:nvSpPr>
        <xdr:cNvPr id="1025" name="Text Box 1"/>
        <xdr:cNvSpPr txBox="1">
          <a:spLocks noChangeArrowheads="1"/>
        </xdr:cNvSpPr>
      </xdr:nvSpPr>
      <xdr:spPr bwMode="auto">
        <a:xfrm>
          <a:off x="5629275" y="36271200"/>
          <a:ext cx="714375" cy="257175"/>
        </a:xfrm>
        <a:prstGeom prst="rect">
          <a:avLst/>
        </a:prstGeom>
        <a:solidFill>
          <a:srgbClr val="CDD1D2"/>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upright="1"/>
        <a:lstStyle/>
        <a:p>
          <a:pPr algn="l" rtl="0">
            <a:defRPr sz="1000"/>
          </a:pPr>
          <a:r>
            <a:rPr lang="fr-FR" sz="1200" b="0" i="0" u="none" strike="noStrike" baseline="0">
              <a:solidFill>
                <a:srgbClr val="000000"/>
              </a:solidFill>
              <a:latin typeface="Times New Roman"/>
              <a:cs typeface="Times New Roman"/>
            </a:rPr>
            <a:t> </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4" Type="http://schemas.openxmlformats.org/officeDocument/2006/relationships/comments" Target="../comments1.xml"/><Relationship Id="rId1" Type="http://schemas.openxmlformats.org/officeDocument/2006/relationships/printerSettings" Target="../printerSettings/printerSettings1.bin"/><Relationship Id="rId2"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enableFormatConditionsCalculation="0">
    <pageSetUpPr fitToPage="1"/>
  </sheetPr>
  <dimension ref="A1:AO480"/>
  <sheetViews>
    <sheetView tabSelected="1" topLeftCell="A20" workbookViewId="0">
      <selection activeCell="B31" sqref="B31"/>
    </sheetView>
  </sheetViews>
  <sheetFormatPr baseColWidth="10" defaultRowHeight="15" x14ac:dyDescent="0.2"/>
  <cols>
    <col min="1" max="1" width="2" customWidth="1"/>
    <col min="2" max="2" width="3.33203125" customWidth="1"/>
    <col min="3" max="24" width="6.6640625" customWidth="1"/>
    <col min="25" max="29" width="6.6640625" style="27" customWidth="1"/>
    <col min="30" max="30" width="3.1640625" style="27" customWidth="1"/>
    <col min="31" max="36" width="10.83203125" style="27"/>
    <col min="37" max="41" width="0" style="27" hidden="1" customWidth="1"/>
  </cols>
  <sheetData>
    <row r="1" spans="1:41" x14ac:dyDescent="0.2">
      <c r="A1" s="27"/>
      <c r="B1" s="27"/>
      <c r="C1" s="27"/>
      <c r="D1" s="27"/>
      <c r="E1" s="27"/>
      <c r="F1" s="27"/>
      <c r="G1" s="27"/>
      <c r="H1" s="27"/>
      <c r="I1" s="27"/>
      <c r="J1" s="27"/>
      <c r="K1" s="27"/>
      <c r="L1" s="27"/>
      <c r="M1" s="27"/>
      <c r="N1" s="27"/>
      <c r="O1" s="27"/>
      <c r="P1" s="27"/>
      <c r="Q1" s="27"/>
      <c r="R1" s="27"/>
      <c r="S1" s="27"/>
      <c r="T1" s="27"/>
      <c r="U1" s="27"/>
      <c r="V1" s="27"/>
      <c r="W1" s="27"/>
      <c r="X1" s="27"/>
    </row>
    <row r="2" spans="1:41" ht="24.75" customHeight="1" x14ac:dyDescent="0.2">
      <c r="A2" s="27"/>
      <c r="B2" s="262" t="s">
        <v>44</v>
      </c>
      <c r="C2" s="262"/>
      <c r="D2" s="262"/>
      <c r="E2" s="262"/>
      <c r="F2" s="262"/>
      <c r="G2" s="262"/>
      <c r="H2" s="262"/>
      <c r="I2" s="262"/>
      <c r="J2" s="262"/>
      <c r="K2" s="262"/>
      <c r="L2" s="262"/>
      <c r="M2" s="262"/>
      <c r="N2" s="262"/>
      <c r="O2" s="262"/>
      <c r="P2" s="262"/>
      <c r="Q2" s="262"/>
      <c r="R2" s="262"/>
      <c r="S2" s="262"/>
      <c r="T2" s="262"/>
      <c r="U2" s="262"/>
      <c r="V2" s="262"/>
      <c r="W2" s="262"/>
      <c r="X2" s="262"/>
      <c r="Y2" s="262"/>
      <c r="Z2" s="262"/>
      <c r="AA2" s="262"/>
      <c r="AB2" s="262"/>
      <c r="AC2" s="262"/>
      <c r="AD2" s="262"/>
    </row>
    <row r="3" spans="1:41" ht="15" customHeight="1" thickBot="1" x14ac:dyDescent="0.25">
      <c r="A3" s="27"/>
      <c r="B3" s="28"/>
      <c r="C3" s="28"/>
      <c r="D3" s="28"/>
      <c r="E3" s="28"/>
      <c r="F3" s="28"/>
      <c r="G3" s="28"/>
      <c r="H3" s="28"/>
      <c r="I3" s="28"/>
      <c r="J3" s="28"/>
      <c r="K3" s="28"/>
      <c r="L3" s="28"/>
      <c r="M3" s="28"/>
      <c r="N3" s="28"/>
      <c r="O3" s="28"/>
      <c r="P3" s="28"/>
      <c r="Q3" s="28"/>
      <c r="R3" s="28"/>
      <c r="S3" s="28"/>
      <c r="T3" s="28"/>
      <c r="U3" s="221">
        <v>41585</v>
      </c>
      <c r="V3" s="221"/>
      <c r="W3" s="39" t="s">
        <v>180</v>
      </c>
      <c r="X3" s="28"/>
      <c r="Y3" s="28"/>
      <c r="Z3" s="28"/>
      <c r="AA3" s="28"/>
      <c r="AB3" s="28"/>
      <c r="AC3" s="28"/>
      <c r="AD3" s="28"/>
    </row>
    <row r="4" spans="1:41" ht="15" customHeight="1" x14ac:dyDescent="0.2">
      <c r="A4" s="27"/>
      <c r="B4" s="28"/>
      <c r="C4" s="285" t="s">
        <v>83</v>
      </c>
      <c r="D4" s="286"/>
      <c r="E4" s="286"/>
      <c r="F4" s="286"/>
      <c r="G4" s="286"/>
      <c r="H4" s="286"/>
      <c r="I4" s="286"/>
      <c r="J4" s="286"/>
      <c r="K4" s="286"/>
      <c r="L4" s="286"/>
      <c r="M4" s="286"/>
      <c r="N4" s="286"/>
      <c r="O4" s="286"/>
      <c r="P4" s="286"/>
      <c r="Q4" s="286"/>
      <c r="R4" s="286"/>
      <c r="S4" s="286"/>
      <c r="T4" s="286"/>
      <c r="U4" s="286"/>
      <c r="V4" s="120"/>
      <c r="W4" s="29"/>
      <c r="X4" s="206" t="s">
        <v>176</v>
      </c>
      <c r="Y4" s="207"/>
      <c r="Z4" s="207"/>
      <c r="AA4" s="207"/>
      <c r="AB4" s="207"/>
      <c r="AC4" s="208"/>
      <c r="AD4" s="28"/>
    </row>
    <row r="5" spans="1:41" ht="15" customHeight="1" x14ac:dyDescent="0.2">
      <c r="A5" s="27"/>
      <c r="B5" s="28"/>
      <c r="C5" s="247"/>
      <c r="D5" s="248"/>
      <c r="E5" s="248"/>
      <c r="F5" s="248"/>
      <c r="G5" s="248"/>
      <c r="H5" s="248"/>
      <c r="I5" s="248"/>
      <c r="J5" s="248"/>
      <c r="K5" s="248"/>
      <c r="L5" s="248"/>
      <c r="M5" s="248"/>
      <c r="N5" s="248"/>
      <c r="O5" s="248"/>
      <c r="P5" s="248"/>
      <c r="Q5" s="248"/>
      <c r="R5" s="248"/>
      <c r="S5" s="248"/>
      <c r="T5" s="248"/>
      <c r="U5" s="248"/>
      <c r="V5" s="85"/>
      <c r="W5" s="29"/>
      <c r="X5" s="267" t="s">
        <v>171</v>
      </c>
      <c r="Y5" s="268"/>
      <c r="Z5" s="269"/>
      <c r="AA5" s="268" t="s">
        <v>174</v>
      </c>
      <c r="AB5" s="268"/>
      <c r="AC5" s="270"/>
      <c r="AD5" s="28"/>
      <c r="AK5" t="s">
        <v>17</v>
      </c>
      <c r="AL5">
        <v>2</v>
      </c>
      <c r="AM5"/>
      <c r="AN5"/>
      <c r="AO5"/>
    </row>
    <row r="6" spans="1:41" ht="15" customHeight="1" x14ac:dyDescent="0.2">
      <c r="A6" s="27"/>
      <c r="B6" s="28"/>
      <c r="C6" s="247"/>
      <c r="D6" s="248"/>
      <c r="E6" s="248"/>
      <c r="F6" s="248"/>
      <c r="G6" s="248"/>
      <c r="H6" s="248"/>
      <c r="I6" s="248"/>
      <c r="J6" s="248"/>
      <c r="K6" s="248"/>
      <c r="L6" s="248"/>
      <c r="M6" s="248"/>
      <c r="N6" s="248"/>
      <c r="O6" s="248"/>
      <c r="P6" s="248"/>
      <c r="Q6" s="248"/>
      <c r="R6" s="248"/>
      <c r="S6" s="248"/>
      <c r="T6" s="248"/>
      <c r="U6" s="248"/>
      <c r="V6" s="85"/>
      <c r="W6" s="29"/>
      <c r="X6" s="110" t="s">
        <v>175</v>
      </c>
      <c r="Y6" s="275">
        <f>(G13*60+I13)/86400</f>
        <v>1.4641203703703703E-2</v>
      </c>
      <c r="Z6" s="276"/>
      <c r="AA6" s="111" t="s">
        <v>175</v>
      </c>
      <c r="AB6" s="275">
        <f>VLOOKUP(L13,MARCAS!A1:D146,2,TRUE)</f>
        <v>3.0752314814814816E-2</v>
      </c>
      <c r="AC6" s="279"/>
      <c r="AD6" s="28"/>
      <c r="AK6" t="s">
        <v>18</v>
      </c>
      <c r="AL6">
        <v>2</v>
      </c>
      <c r="AM6"/>
      <c r="AN6"/>
      <c r="AO6"/>
    </row>
    <row r="7" spans="1:41" ht="15" customHeight="1" x14ac:dyDescent="0.2">
      <c r="A7" s="27"/>
      <c r="B7" s="28"/>
      <c r="C7" s="121" t="s">
        <v>45</v>
      </c>
      <c r="D7" s="30"/>
      <c r="E7" s="30"/>
      <c r="F7" s="30"/>
      <c r="G7" s="30"/>
      <c r="H7" s="30"/>
      <c r="I7" s="30"/>
      <c r="J7" s="30"/>
      <c r="K7" s="30"/>
      <c r="L7" s="30"/>
      <c r="M7" s="30"/>
      <c r="N7" s="30"/>
      <c r="O7" s="30"/>
      <c r="P7" s="30"/>
      <c r="Q7" s="30"/>
      <c r="R7" s="30"/>
      <c r="S7" s="30"/>
      <c r="T7" s="30"/>
      <c r="U7" s="30"/>
      <c r="V7" s="85"/>
      <c r="W7" s="29"/>
      <c r="X7" s="114" t="s">
        <v>65</v>
      </c>
      <c r="Y7" s="277">
        <f>Y6/5</f>
        <v>2.9282407407407408E-3</v>
      </c>
      <c r="Z7" s="278"/>
      <c r="AA7" s="115" t="s">
        <v>65</v>
      </c>
      <c r="AB7" s="277">
        <f>AB6/10</f>
        <v>3.0752314814814817E-3</v>
      </c>
      <c r="AC7" s="280"/>
      <c r="AD7" s="28"/>
      <c r="AK7" t="s">
        <v>19</v>
      </c>
      <c r="AL7">
        <v>2</v>
      </c>
      <c r="AM7"/>
      <c r="AN7"/>
      <c r="AO7"/>
    </row>
    <row r="8" spans="1:41" ht="15" customHeight="1" x14ac:dyDescent="0.2">
      <c r="A8" s="27"/>
      <c r="B8" s="28"/>
      <c r="C8" s="121" t="s">
        <v>46</v>
      </c>
      <c r="D8" s="30"/>
      <c r="E8" s="30"/>
      <c r="F8" s="30"/>
      <c r="G8" s="30"/>
      <c r="H8" s="30"/>
      <c r="I8" s="30"/>
      <c r="J8" s="30"/>
      <c r="K8" s="30"/>
      <c r="L8" s="30"/>
      <c r="M8" s="30"/>
      <c r="N8" s="30"/>
      <c r="O8" s="30"/>
      <c r="P8" s="30"/>
      <c r="Q8" s="30"/>
      <c r="R8" s="30"/>
      <c r="S8" s="30"/>
      <c r="T8" s="30"/>
      <c r="U8" s="30"/>
      <c r="V8" s="85"/>
      <c r="W8" s="29"/>
      <c r="X8" s="271" t="s">
        <v>172</v>
      </c>
      <c r="Y8" s="272"/>
      <c r="Z8" s="273"/>
      <c r="AA8" s="272" t="s">
        <v>173</v>
      </c>
      <c r="AB8" s="272"/>
      <c r="AC8" s="274"/>
      <c r="AD8" s="28"/>
      <c r="AK8" t="s">
        <v>27</v>
      </c>
      <c r="AL8">
        <v>1</v>
      </c>
      <c r="AM8"/>
      <c r="AN8"/>
      <c r="AO8"/>
    </row>
    <row r="9" spans="1:41" ht="15" customHeight="1" x14ac:dyDescent="0.2">
      <c r="A9" s="27"/>
      <c r="B9" s="28"/>
      <c r="C9" s="121" t="s">
        <v>47</v>
      </c>
      <c r="D9" s="30"/>
      <c r="E9" s="30"/>
      <c r="F9" s="30"/>
      <c r="G9" s="30"/>
      <c r="H9" s="30"/>
      <c r="I9" s="30"/>
      <c r="J9" s="30"/>
      <c r="K9" s="30"/>
      <c r="L9" s="30"/>
      <c r="M9" s="30"/>
      <c r="N9" s="30"/>
      <c r="O9" s="30"/>
      <c r="P9" s="30"/>
      <c r="Q9" s="30"/>
      <c r="R9" s="30"/>
      <c r="S9" s="30"/>
      <c r="T9" s="30"/>
      <c r="U9" s="30"/>
      <c r="V9" s="85"/>
      <c r="W9" s="29"/>
      <c r="X9" s="110" t="s">
        <v>175</v>
      </c>
      <c r="Y9" s="275">
        <f>VLOOKUP(L13,MARCAS!A1:D146,3,TRUE)</f>
        <v>6.8136574074074072E-2</v>
      </c>
      <c r="Z9" s="276"/>
      <c r="AA9" s="111" t="s">
        <v>175</v>
      </c>
      <c r="AB9" s="275">
        <f>VLOOKUP(L13,MARCAS!A1:D146,4,TRUE)</f>
        <v>0.14304398148148148</v>
      </c>
      <c r="AC9" s="279"/>
      <c r="AD9" s="28"/>
      <c r="AK9" t="s">
        <v>28</v>
      </c>
      <c r="AL9">
        <v>0</v>
      </c>
      <c r="AM9"/>
      <c r="AN9"/>
      <c r="AO9"/>
    </row>
    <row r="10" spans="1:41" ht="15" customHeight="1" thickBot="1" x14ac:dyDescent="0.25">
      <c r="A10" s="27"/>
      <c r="B10" s="28"/>
      <c r="C10" s="247" t="s">
        <v>48</v>
      </c>
      <c r="D10" s="248"/>
      <c r="E10" s="248"/>
      <c r="F10" s="248"/>
      <c r="G10" s="248"/>
      <c r="H10" s="248"/>
      <c r="I10" s="248"/>
      <c r="J10" s="248"/>
      <c r="K10" s="248"/>
      <c r="L10" s="248"/>
      <c r="M10" s="248"/>
      <c r="N10" s="248"/>
      <c r="O10" s="248"/>
      <c r="P10" s="248"/>
      <c r="Q10" s="248"/>
      <c r="R10" s="248"/>
      <c r="S10" s="248"/>
      <c r="T10" s="248"/>
      <c r="U10" s="248"/>
      <c r="V10" s="250"/>
      <c r="W10" s="29"/>
      <c r="X10" s="112" t="s">
        <v>65</v>
      </c>
      <c r="Y10" s="281">
        <f>Y9/21.1</f>
        <v>3.2292215200982969E-3</v>
      </c>
      <c r="Z10" s="282"/>
      <c r="AA10" s="113" t="s">
        <v>65</v>
      </c>
      <c r="AB10" s="281">
        <f>AB9/42.2</f>
        <v>3.3896678076180443E-3</v>
      </c>
      <c r="AC10" s="283"/>
      <c r="AD10" s="28"/>
      <c r="AK10"/>
      <c r="AL10"/>
      <c r="AM10"/>
      <c r="AN10"/>
      <c r="AO10"/>
    </row>
    <row r="11" spans="1:41" ht="15" customHeight="1" thickBot="1" x14ac:dyDescent="0.25">
      <c r="A11" s="27"/>
      <c r="B11" s="28"/>
      <c r="C11" s="287"/>
      <c r="D11" s="288"/>
      <c r="E11" s="288"/>
      <c r="F11" s="288"/>
      <c r="G11" s="288"/>
      <c r="H11" s="288"/>
      <c r="I11" s="288"/>
      <c r="J11" s="288"/>
      <c r="K11" s="288"/>
      <c r="L11" s="288"/>
      <c r="M11" s="288"/>
      <c r="N11" s="288"/>
      <c r="O11" s="288"/>
      <c r="P11" s="288"/>
      <c r="Q11" s="288"/>
      <c r="R11" s="288"/>
      <c r="S11" s="288"/>
      <c r="T11" s="288"/>
      <c r="U11" s="288"/>
      <c r="V11" s="289"/>
      <c r="W11" s="29"/>
      <c r="X11" s="28"/>
      <c r="Y11" s="28"/>
      <c r="Z11" s="28"/>
      <c r="AA11" s="28"/>
      <c r="AB11" s="28"/>
      <c r="AC11" s="28"/>
      <c r="AD11" s="28"/>
      <c r="AK11" s="22" t="s">
        <v>20</v>
      </c>
      <c r="AL11">
        <f t="shared" ref="AL11:AL17" si="0">VLOOKUP(F23,$AK$5:$AL$9,2,FALSE)</f>
        <v>1</v>
      </c>
      <c r="AM11"/>
      <c r="AN11" s="22"/>
      <c r="AO11"/>
    </row>
    <row r="12" spans="1:41" ht="15" customHeight="1" x14ac:dyDescent="0.2">
      <c r="A12" s="27"/>
      <c r="B12" s="224"/>
      <c r="C12" s="224"/>
      <c r="D12" s="224"/>
      <c r="E12" s="224"/>
      <c r="F12" s="224"/>
      <c r="G12" s="224"/>
      <c r="H12" s="224"/>
      <c r="I12" s="224"/>
      <c r="J12" s="224"/>
      <c r="K12" s="224"/>
      <c r="L12" s="224"/>
      <c r="M12" s="224"/>
      <c r="N12" s="224"/>
      <c r="O12" s="224"/>
      <c r="P12" s="224"/>
      <c r="Q12" s="224"/>
      <c r="R12" s="224"/>
      <c r="S12" s="224"/>
      <c r="T12" s="224"/>
      <c r="U12" s="224"/>
      <c r="V12" s="224"/>
      <c r="W12" s="224"/>
      <c r="X12" s="206" t="s">
        <v>177</v>
      </c>
      <c r="Y12" s="207"/>
      <c r="Z12" s="207"/>
      <c r="AA12" s="207"/>
      <c r="AB12" s="207"/>
      <c r="AC12" s="208"/>
      <c r="AD12" s="28"/>
      <c r="AK12" s="22" t="s">
        <v>21</v>
      </c>
      <c r="AL12">
        <f t="shared" si="0"/>
        <v>2</v>
      </c>
      <c r="AM12">
        <f>AL12+AL11</f>
        <v>3</v>
      </c>
      <c r="AN12" s="22"/>
      <c r="AO12"/>
    </row>
    <row r="13" spans="1:41" ht="15" customHeight="1" x14ac:dyDescent="0.2">
      <c r="A13" s="27"/>
      <c r="B13" s="28"/>
      <c r="C13" s="241" t="s">
        <v>16</v>
      </c>
      <c r="D13" s="241"/>
      <c r="E13" s="241"/>
      <c r="F13" s="241"/>
      <c r="G13" s="263">
        <v>21</v>
      </c>
      <c r="H13" s="264" t="s">
        <v>34</v>
      </c>
      <c r="I13" s="263">
        <v>5</v>
      </c>
      <c r="J13" s="265" t="s">
        <v>35</v>
      </c>
      <c r="K13" s="36">
        <f>ROUND((G13*60+I13)/10,0)*10</f>
        <v>1270</v>
      </c>
      <c r="L13" s="284">
        <f>K13/86400</f>
        <v>1.4699074074074074E-2</v>
      </c>
      <c r="M13" s="284"/>
      <c r="N13" s="109"/>
      <c r="O13" s="109"/>
      <c r="P13" s="109"/>
      <c r="Q13" s="109"/>
      <c r="R13" s="109"/>
      <c r="S13" s="28"/>
      <c r="T13" s="28"/>
      <c r="U13" s="28"/>
      <c r="V13" s="28"/>
      <c r="W13" s="28"/>
      <c r="X13" s="125" t="s">
        <v>178</v>
      </c>
      <c r="Y13" s="126" t="s">
        <v>54</v>
      </c>
      <c r="Z13" s="127" t="s">
        <v>175</v>
      </c>
      <c r="AA13" s="122" t="s">
        <v>178</v>
      </c>
      <c r="AB13" s="123" t="s">
        <v>54</v>
      </c>
      <c r="AC13" s="124" t="s">
        <v>175</v>
      </c>
      <c r="AD13" s="28"/>
      <c r="AK13" s="22" t="s">
        <v>22</v>
      </c>
      <c r="AL13">
        <f t="shared" si="0"/>
        <v>1</v>
      </c>
      <c r="AM13">
        <f t="shared" ref="AM13" si="1">AL13+AL12</f>
        <v>3</v>
      </c>
      <c r="AN13" s="22"/>
      <c r="AO13"/>
    </row>
    <row r="14" spans="1:41" ht="15" customHeight="1" x14ac:dyDescent="0.2">
      <c r="A14" s="27"/>
      <c r="B14" s="28"/>
      <c r="C14" s="241"/>
      <c r="D14" s="241"/>
      <c r="E14" s="241"/>
      <c r="F14" s="241"/>
      <c r="G14" s="263"/>
      <c r="H14" s="264"/>
      <c r="I14" s="263"/>
      <c r="J14" s="265"/>
      <c r="K14" s="36"/>
      <c r="L14" s="63"/>
      <c r="M14" s="63"/>
      <c r="N14" s="109"/>
      <c r="O14" s="109"/>
      <c r="P14" s="109"/>
      <c r="Q14" s="109"/>
      <c r="R14" s="109"/>
      <c r="S14" s="28"/>
      <c r="T14" s="28"/>
      <c r="U14" s="28"/>
      <c r="V14" s="28"/>
      <c r="W14" s="28"/>
      <c r="X14" s="136">
        <v>41296</v>
      </c>
      <c r="Y14" s="128">
        <v>10</v>
      </c>
      <c r="Z14" s="129">
        <v>3.3854166666666664E-2</v>
      </c>
      <c r="AA14" s="138"/>
      <c r="AB14" s="130"/>
      <c r="AC14" s="131"/>
      <c r="AD14" s="28"/>
      <c r="AK14" s="22" t="s">
        <v>23</v>
      </c>
      <c r="AL14">
        <f t="shared" si="0"/>
        <v>1</v>
      </c>
      <c r="AM14">
        <f>AL14+AL13</f>
        <v>2</v>
      </c>
      <c r="AN14" s="22"/>
      <c r="AO14"/>
    </row>
    <row r="15" spans="1:41" ht="15" customHeight="1" x14ac:dyDescent="0.2">
      <c r="A15" s="27"/>
      <c r="B15" s="28"/>
      <c r="C15" s="28"/>
      <c r="D15" s="28"/>
      <c r="E15" s="28"/>
      <c r="F15" s="28"/>
      <c r="G15" s="28"/>
      <c r="H15" s="28"/>
      <c r="I15" s="28"/>
      <c r="J15" s="28"/>
      <c r="K15" s="28"/>
      <c r="L15" s="28"/>
      <c r="M15" s="28"/>
      <c r="N15" s="28"/>
      <c r="O15" s="28"/>
      <c r="P15" s="28"/>
      <c r="Q15" s="109"/>
      <c r="R15" s="109"/>
      <c r="S15" s="28"/>
      <c r="T15" s="28"/>
      <c r="U15" s="28"/>
      <c r="V15" s="28"/>
      <c r="W15" s="28"/>
      <c r="X15" s="136"/>
      <c r="Y15" s="128"/>
      <c r="Z15" s="129"/>
      <c r="AA15" s="138"/>
      <c r="AB15" s="130"/>
      <c r="AC15" s="131"/>
      <c r="AD15" s="28"/>
      <c r="AK15" s="22" t="s">
        <v>24</v>
      </c>
      <c r="AL15">
        <f t="shared" si="0"/>
        <v>2</v>
      </c>
      <c r="AM15">
        <f>AL15+AL14</f>
        <v>3</v>
      </c>
      <c r="AN15" s="22"/>
      <c r="AO15"/>
    </row>
    <row r="16" spans="1:41" ht="15" customHeight="1" x14ac:dyDescent="0.2">
      <c r="A16" s="27"/>
      <c r="B16" s="28"/>
      <c r="C16" s="241" t="s">
        <v>49</v>
      </c>
      <c r="D16" s="241"/>
      <c r="E16" s="241"/>
      <c r="F16" s="241"/>
      <c r="G16" s="241"/>
      <c r="H16" s="241"/>
      <c r="I16" s="266" t="s">
        <v>37</v>
      </c>
      <c r="J16" s="266"/>
      <c r="K16" s="266"/>
      <c r="L16" s="266"/>
      <c r="M16" s="266"/>
      <c r="N16" s="266"/>
      <c r="O16" s="266"/>
      <c r="P16" s="266"/>
      <c r="Q16" s="266"/>
      <c r="R16" s="109"/>
      <c r="S16" s="36">
        <f>VLOOKUP(I16,AK25:AN29,4,FALSE)</f>
        <v>2</v>
      </c>
      <c r="T16" s="28"/>
      <c r="U16" s="28"/>
      <c r="V16" s="28"/>
      <c r="W16" s="28"/>
      <c r="X16" s="136"/>
      <c r="Y16" s="128"/>
      <c r="Z16" s="129"/>
      <c r="AA16" s="138"/>
      <c r="AB16" s="130"/>
      <c r="AC16" s="131"/>
      <c r="AD16" s="28"/>
      <c r="AK16" s="22" t="s">
        <v>25</v>
      </c>
      <c r="AL16">
        <f t="shared" si="0"/>
        <v>0</v>
      </c>
      <c r="AM16">
        <f>AL16+AL15</f>
        <v>2</v>
      </c>
      <c r="AN16" s="22"/>
      <c r="AO16"/>
    </row>
    <row r="17" spans="1:41" ht="15" customHeight="1" x14ac:dyDescent="0.2">
      <c r="A17" s="27"/>
      <c r="B17" s="28"/>
      <c r="C17" s="241"/>
      <c r="D17" s="241"/>
      <c r="E17" s="241"/>
      <c r="F17" s="241"/>
      <c r="G17" s="241"/>
      <c r="H17" s="241"/>
      <c r="I17" s="266"/>
      <c r="J17" s="266"/>
      <c r="K17" s="266"/>
      <c r="L17" s="266"/>
      <c r="M17" s="266"/>
      <c r="N17" s="266"/>
      <c r="O17" s="266"/>
      <c r="P17" s="266"/>
      <c r="Q17" s="266"/>
      <c r="R17" s="109"/>
      <c r="S17" s="36"/>
      <c r="T17" s="28"/>
      <c r="U17" s="28"/>
      <c r="V17" s="28"/>
      <c r="W17" s="28"/>
      <c r="X17" s="136"/>
      <c r="Y17" s="128"/>
      <c r="Z17" s="129"/>
      <c r="AA17" s="138"/>
      <c r="AB17" s="130"/>
      <c r="AC17" s="131"/>
      <c r="AD17" s="28"/>
      <c r="AK17" s="22" t="s">
        <v>26</v>
      </c>
      <c r="AL17">
        <f t="shared" si="0"/>
        <v>2</v>
      </c>
      <c r="AM17">
        <f>AL17+AL16</f>
        <v>2</v>
      </c>
      <c r="AN17" s="22"/>
      <c r="AO17"/>
    </row>
    <row r="18" spans="1:41" ht="15" customHeight="1" x14ac:dyDescent="0.2">
      <c r="A18" s="27"/>
      <c r="B18" s="28"/>
      <c r="C18" s="28"/>
      <c r="D18" s="28"/>
      <c r="E18" s="28"/>
      <c r="F18" s="28"/>
      <c r="G18" s="28"/>
      <c r="H18" s="28"/>
      <c r="I18" s="28"/>
      <c r="J18" s="28"/>
      <c r="K18" s="28"/>
      <c r="L18" s="28"/>
      <c r="M18" s="28"/>
      <c r="N18" s="28"/>
      <c r="O18" s="28"/>
      <c r="P18" s="28"/>
      <c r="Q18" s="109"/>
      <c r="R18" s="109"/>
      <c r="S18" s="36"/>
      <c r="T18" s="28"/>
      <c r="U18" s="28"/>
      <c r="V18" s="28"/>
      <c r="W18" s="28"/>
      <c r="X18" s="136"/>
      <c r="Y18" s="128"/>
      <c r="Z18" s="129"/>
      <c r="AA18" s="138"/>
      <c r="AB18" s="130"/>
      <c r="AC18" s="131"/>
      <c r="AD18" s="28"/>
      <c r="AL18">
        <f>SUM(AL11:AL17)</f>
        <v>9</v>
      </c>
      <c r="AN18" s="22"/>
      <c r="AO18"/>
    </row>
    <row r="19" spans="1:41" ht="15" customHeight="1" x14ac:dyDescent="0.2">
      <c r="A19" s="27"/>
      <c r="B19" s="28"/>
      <c r="C19" s="241" t="s">
        <v>84</v>
      </c>
      <c r="D19" s="241"/>
      <c r="E19" s="241"/>
      <c r="F19" s="241"/>
      <c r="G19" s="241"/>
      <c r="H19" s="241"/>
      <c r="I19" s="290">
        <v>42653</v>
      </c>
      <c r="J19" s="290"/>
      <c r="K19" s="290"/>
      <c r="L19" s="290"/>
      <c r="M19" s="291" t="s">
        <v>85</v>
      </c>
      <c r="N19" s="291"/>
      <c r="O19" s="291"/>
      <c r="P19" s="292" t="str">
        <f>IF(AK31&lt;&gt;1,"No es un lunes, cambie la fecha","Fecha correcta")</f>
        <v>Fecha correcta</v>
      </c>
      <c r="Q19" s="292"/>
      <c r="R19" s="292"/>
      <c r="S19" s="292"/>
      <c r="T19" s="292"/>
      <c r="U19" s="292"/>
      <c r="V19" s="292"/>
      <c r="W19" s="28"/>
      <c r="X19" s="136"/>
      <c r="Y19" s="128"/>
      <c r="Z19" s="129"/>
      <c r="AA19" s="138"/>
      <c r="AB19" s="130"/>
      <c r="AC19" s="131"/>
      <c r="AD19" s="28"/>
      <c r="AK19" t="s">
        <v>89</v>
      </c>
      <c r="AL19"/>
      <c r="AM19">
        <f>IF(AK31=1,0,1)</f>
        <v>0</v>
      </c>
      <c r="AN19"/>
      <c r="AO19"/>
    </row>
    <row r="20" spans="1:41" ht="15" customHeight="1" x14ac:dyDescent="0.2">
      <c r="A20" s="27"/>
      <c r="B20" s="28"/>
      <c r="C20" s="241"/>
      <c r="D20" s="241"/>
      <c r="E20" s="241"/>
      <c r="F20" s="241"/>
      <c r="G20" s="241"/>
      <c r="H20" s="241"/>
      <c r="I20" s="290"/>
      <c r="J20" s="290"/>
      <c r="K20" s="290"/>
      <c r="L20" s="290"/>
      <c r="M20" s="291"/>
      <c r="N20" s="291"/>
      <c r="O20" s="291"/>
      <c r="P20" s="292"/>
      <c r="Q20" s="292"/>
      <c r="R20" s="292"/>
      <c r="S20" s="292"/>
      <c r="T20" s="292"/>
      <c r="U20" s="292"/>
      <c r="V20" s="292"/>
      <c r="W20" s="28"/>
      <c r="X20" s="136"/>
      <c r="Y20" s="128"/>
      <c r="Z20" s="129"/>
      <c r="AA20" s="138"/>
      <c r="AB20" s="130"/>
      <c r="AC20" s="131"/>
      <c r="AD20" s="28"/>
      <c r="AK20" t="s">
        <v>29</v>
      </c>
      <c r="AL20">
        <f>COUNTIF(AL11:AL17,2)</f>
        <v>3</v>
      </c>
      <c r="AM20">
        <f>IF(AL20&lt;3,1,0)</f>
        <v>0</v>
      </c>
      <c r="AN20"/>
      <c r="AO20"/>
    </row>
    <row r="21" spans="1:41" ht="15" customHeight="1" thickBot="1" x14ac:dyDescent="0.25">
      <c r="A21" s="27"/>
      <c r="B21" s="28"/>
      <c r="C21" s="28"/>
      <c r="D21" s="28"/>
      <c r="E21" s="28"/>
      <c r="F21" s="28"/>
      <c r="G21" s="28"/>
      <c r="H21" s="28"/>
      <c r="I21" s="28"/>
      <c r="J21" s="28"/>
      <c r="K21" s="28"/>
      <c r="L21" s="28"/>
      <c r="M21" s="28"/>
      <c r="N21" s="28"/>
      <c r="O21" s="28"/>
      <c r="P21" s="28"/>
      <c r="Q21" s="28"/>
      <c r="R21" s="28"/>
      <c r="S21" s="28"/>
      <c r="T21" s="28"/>
      <c r="U21" s="28"/>
      <c r="V21" s="28"/>
      <c r="W21" s="28"/>
      <c r="X21" s="136"/>
      <c r="Y21" s="128"/>
      <c r="Z21" s="129"/>
      <c r="AA21" s="138"/>
      <c r="AB21" s="130"/>
      <c r="AC21" s="131"/>
      <c r="AD21" s="28"/>
      <c r="AK21" t="s">
        <v>30</v>
      </c>
      <c r="AL21">
        <f>COUNTIF(AL11:AL17,1)</f>
        <v>3</v>
      </c>
      <c r="AM21">
        <f>IF(AL21&lt;2,1,0)</f>
        <v>0</v>
      </c>
      <c r="AN21"/>
      <c r="AO21"/>
    </row>
    <row r="22" spans="1:41" ht="15" customHeight="1" x14ac:dyDescent="0.2">
      <c r="A22" s="27"/>
      <c r="B22" s="28"/>
      <c r="C22" s="225" t="s">
        <v>33</v>
      </c>
      <c r="D22" s="226"/>
      <c r="E22" s="226"/>
      <c r="F22" s="226"/>
      <c r="G22" s="226"/>
      <c r="H22" s="226"/>
      <c r="I22" s="226"/>
      <c r="J22" s="226"/>
      <c r="K22" s="226"/>
      <c r="L22" s="226"/>
      <c r="M22" s="226"/>
      <c r="N22" s="226"/>
      <c r="O22" s="226"/>
      <c r="P22" s="226"/>
      <c r="Q22" s="226"/>
      <c r="R22" s="226"/>
      <c r="S22" s="226"/>
      <c r="T22" s="226"/>
      <c r="U22" s="226"/>
      <c r="V22" s="227"/>
      <c r="W22" s="28"/>
      <c r="X22" s="136"/>
      <c r="Y22" s="128"/>
      <c r="Z22" s="129"/>
      <c r="AA22" s="138"/>
      <c r="AB22" s="130"/>
      <c r="AC22" s="131"/>
      <c r="AD22" s="28"/>
      <c r="AK22" t="s">
        <v>31</v>
      </c>
      <c r="AL22">
        <f>COUNTIF(AM12:AM17,4)</f>
        <v>0</v>
      </c>
      <c r="AM22">
        <f>IF(AL22&gt;0,1,0)</f>
        <v>0</v>
      </c>
      <c r="AN22"/>
      <c r="AO22"/>
    </row>
    <row r="23" spans="1:41" ht="15" customHeight="1" x14ac:dyDescent="0.2">
      <c r="A23" s="27"/>
      <c r="B23" s="28"/>
      <c r="C23" s="222" t="s">
        <v>20</v>
      </c>
      <c r="D23" s="223"/>
      <c r="E23" s="223"/>
      <c r="F23" s="223" t="s">
        <v>27</v>
      </c>
      <c r="G23" s="223"/>
      <c r="H23" s="223"/>
      <c r="I23" s="223"/>
      <c r="J23" s="116"/>
      <c r="K23" s="116"/>
      <c r="L23" s="116"/>
      <c r="M23" s="116"/>
      <c r="N23" s="116"/>
      <c r="O23" s="116"/>
      <c r="P23" s="116"/>
      <c r="Q23" s="116"/>
      <c r="R23" s="116"/>
      <c r="S23" s="116"/>
      <c r="T23" s="116"/>
      <c r="U23" s="116"/>
      <c r="V23" s="117"/>
      <c r="W23" s="28"/>
      <c r="X23" s="136"/>
      <c r="Y23" s="128"/>
      <c r="Z23" s="129"/>
      <c r="AA23" s="138"/>
      <c r="AB23" s="130"/>
      <c r="AC23" s="131"/>
      <c r="AD23" s="28"/>
      <c r="AK23" t="s">
        <v>32</v>
      </c>
      <c r="AL23"/>
      <c r="AM23">
        <f>SUM(AM19:AM22)</f>
        <v>0</v>
      </c>
      <c r="AN23"/>
      <c r="AO23"/>
    </row>
    <row r="24" spans="1:41" ht="15" customHeight="1" x14ac:dyDescent="0.2">
      <c r="A24" s="27"/>
      <c r="B24" s="28"/>
      <c r="C24" s="222" t="s">
        <v>21</v>
      </c>
      <c r="D24" s="223"/>
      <c r="E24" s="223"/>
      <c r="F24" s="223" t="s">
        <v>17</v>
      </c>
      <c r="G24" s="223"/>
      <c r="H24" s="223"/>
      <c r="I24" s="223"/>
      <c r="J24" s="116"/>
      <c r="K24" s="116" t="s">
        <v>41</v>
      </c>
      <c r="L24" s="116"/>
      <c r="M24" s="116"/>
      <c r="N24" s="116"/>
      <c r="O24" s="116"/>
      <c r="P24" s="116"/>
      <c r="Q24" s="116"/>
      <c r="R24" s="116"/>
      <c r="S24" s="116"/>
      <c r="T24" s="116"/>
      <c r="U24" s="116"/>
      <c r="V24" s="117"/>
      <c r="W24" s="28"/>
      <c r="X24" s="136"/>
      <c r="Y24" s="128"/>
      <c r="Z24" s="129"/>
      <c r="AA24" s="138"/>
      <c r="AB24" s="130"/>
      <c r="AC24" s="131"/>
      <c r="AD24" s="28"/>
      <c r="AK24"/>
      <c r="AL24"/>
      <c r="AM24"/>
      <c r="AN24"/>
      <c r="AO24"/>
    </row>
    <row r="25" spans="1:41" ht="15" customHeight="1" thickBot="1" x14ac:dyDescent="0.25">
      <c r="A25" s="27"/>
      <c r="B25" s="28"/>
      <c r="C25" s="222" t="s">
        <v>22</v>
      </c>
      <c r="D25" s="223"/>
      <c r="E25" s="223"/>
      <c r="F25" s="223" t="s">
        <v>27</v>
      </c>
      <c r="G25" s="223"/>
      <c r="H25" s="223"/>
      <c r="I25" s="223"/>
      <c r="J25" s="116"/>
      <c r="K25" s="116" t="s">
        <v>42</v>
      </c>
      <c r="L25" s="116"/>
      <c r="M25" s="116"/>
      <c r="N25" s="116"/>
      <c r="O25" s="116"/>
      <c r="P25" s="116"/>
      <c r="Q25" s="116"/>
      <c r="R25" s="116"/>
      <c r="S25" s="116"/>
      <c r="T25" s="116"/>
      <c r="U25" s="116"/>
      <c r="V25" s="117"/>
      <c r="W25" s="28"/>
      <c r="X25" s="137"/>
      <c r="Y25" s="132"/>
      <c r="Z25" s="133"/>
      <c r="AA25" s="139"/>
      <c r="AB25" s="134"/>
      <c r="AC25" s="135"/>
      <c r="AD25" s="28"/>
      <c r="AK25" s="22" t="s">
        <v>36</v>
      </c>
      <c r="AL25" s="22"/>
      <c r="AM25" s="22"/>
      <c r="AN25">
        <v>1</v>
      </c>
      <c r="AO25">
        <v>12</v>
      </c>
    </row>
    <row r="26" spans="1:41" ht="15" customHeight="1" thickBot="1" x14ac:dyDescent="0.25">
      <c r="A26" s="27"/>
      <c r="B26" s="28"/>
      <c r="C26" s="222" t="s">
        <v>23</v>
      </c>
      <c r="D26" s="223"/>
      <c r="E26" s="223"/>
      <c r="F26" s="223" t="s">
        <v>27</v>
      </c>
      <c r="G26" s="223"/>
      <c r="H26" s="223"/>
      <c r="I26" s="223"/>
      <c r="J26" s="116"/>
      <c r="K26" s="116" t="s">
        <v>43</v>
      </c>
      <c r="L26" s="116"/>
      <c r="M26" s="116"/>
      <c r="N26" s="116"/>
      <c r="O26" s="116"/>
      <c r="P26" s="116"/>
      <c r="Q26" s="116"/>
      <c r="R26" s="116"/>
      <c r="S26" s="116"/>
      <c r="T26" s="116"/>
      <c r="U26" s="116"/>
      <c r="V26" s="117"/>
      <c r="W26" s="29"/>
      <c r="X26" s="28"/>
      <c r="Y26" s="28"/>
      <c r="Z26" s="28"/>
      <c r="AA26" s="28"/>
      <c r="AB26" s="28"/>
      <c r="AC26" s="28"/>
      <c r="AD26" s="29"/>
      <c r="AK26" s="22" t="s">
        <v>37</v>
      </c>
      <c r="AL26" s="22"/>
      <c r="AM26" s="22"/>
      <c r="AN26">
        <v>2</v>
      </c>
      <c r="AO26">
        <v>12</v>
      </c>
    </row>
    <row r="27" spans="1:41" ht="15" customHeight="1" x14ac:dyDescent="0.2">
      <c r="A27" s="27"/>
      <c r="B27" s="28"/>
      <c r="C27" s="222" t="s">
        <v>24</v>
      </c>
      <c r="D27" s="223"/>
      <c r="E27" s="223"/>
      <c r="F27" s="223" t="s">
        <v>18</v>
      </c>
      <c r="G27" s="223"/>
      <c r="H27" s="223"/>
      <c r="I27" s="223"/>
      <c r="J27" s="116"/>
      <c r="K27" s="116"/>
      <c r="L27" s="116"/>
      <c r="M27" s="116"/>
      <c r="N27" s="116"/>
      <c r="O27" s="116"/>
      <c r="P27" s="116"/>
      <c r="Q27" s="116"/>
      <c r="R27" s="116"/>
      <c r="S27" s="116"/>
      <c r="T27" s="116"/>
      <c r="U27" s="116"/>
      <c r="V27" s="117"/>
      <c r="W27" s="28"/>
      <c r="X27" s="206" t="s">
        <v>181</v>
      </c>
      <c r="Y27" s="207"/>
      <c r="Z27" s="207"/>
      <c r="AA27" s="207"/>
      <c r="AB27" s="207"/>
      <c r="AC27" s="208"/>
      <c r="AD27" s="28"/>
      <c r="AK27" s="22" t="s">
        <v>38</v>
      </c>
      <c r="AL27" s="22"/>
      <c r="AM27" s="22"/>
      <c r="AN27">
        <v>3</v>
      </c>
      <c r="AO27">
        <v>16</v>
      </c>
    </row>
    <row r="28" spans="1:41" ht="15" customHeight="1" x14ac:dyDescent="0.2">
      <c r="A28" s="27"/>
      <c r="B28" s="28"/>
      <c r="C28" s="222" t="s">
        <v>25</v>
      </c>
      <c r="D28" s="223"/>
      <c r="E28" s="223"/>
      <c r="F28" s="223" t="s">
        <v>28</v>
      </c>
      <c r="G28" s="223"/>
      <c r="H28" s="223"/>
      <c r="I28" s="223"/>
      <c r="J28" s="116"/>
      <c r="K28" s="233" t="str">
        <f>IF(AM20=1,"error: falta un entrenamiento principal",IF(AM21=1,"error: falta un entrenamiento cruzado",IF(AM22=1,"error: no pueden realizarse dos entrenamentos principales seguidos",IF(AM23=0,"datos correctos ¡Ya puedes calcular tu entrenamiento!","revise la fecha de inicio del plan de entrenamiento"))))</f>
        <v>datos correctos ¡Ya puedes calcular tu entrenamiento!</v>
      </c>
      <c r="L28" s="233"/>
      <c r="M28" s="233"/>
      <c r="N28" s="233"/>
      <c r="O28" s="233"/>
      <c r="P28" s="233"/>
      <c r="Q28" s="233"/>
      <c r="R28" s="233"/>
      <c r="S28" s="233"/>
      <c r="T28" s="233"/>
      <c r="U28" s="233"/>
      <c r="V28" s="234"/>
      <c r="W28" s="28"/>
      <c r="X28" s="209" t="s">
        <v>182</v>
      </c>
      <c r="Y28" s="210"/>
      <c r="Z28" s="213">
        <v>5.0231481481481481E-3</v>
      </c>
      <c r="AA28" s="214"/>
      <c r="AB28" s="217" t="s">
        <v>184</v>
      </c>
      <c r="AC28" s="218"/>
      <c r="AD28" s="28"/>
      <c r="AK28" s="22" t="s">
        <v>39</v>
      </c>
      <c r="AL28" s="22"/>
      <c r="AM28" s="22"/>
      <c r="AN28">
        <v>4</v>
      </c>
      <c r="AO28">
        <v>16</v>
      </c>
    </row>
    <row r="29" spans="1:41" ht="15" customHeight="1" thickBot="1" x14ac:dyDescent="0.25">
      <c r="A29" s="27"/>
      <c r="B29" s="28"/>
      <c r="C29" s="228" t="s">
        <v>26</v>
      </c>
      <c r="D29" s="229"/>
      <c r="E29" s="229"/>
      <c r="F29" s="229" t="s">
        <v>19</v>
      </c>
      <c r="G29" s="229"/>
      <c r="H29" s="229"/>
      <c r="I29" s="229"/>
      <c r="J29" s="118"/>
      <c r="K29" s="118"/>
      <c r="L29" s="118"/>
      <c r="M29" s="118"/>
      <c r="N29" s="118"/>
      <c r="O29" s="118"/>
      <c r="P29" s="118"/>
      <c r="Q29" s="118"/>
      <c r="R29" s="118"/>
      <c r="S29" s="118"/>
      <c r="T29" s="118"/>
      <c r="U29" s="118"/>
      <c r="V29" s="119"/>
      <c r="W29" s="28"/>
      <c r="X29" s="211" t="s">
        <v>183</v>
      </c>
      <c r="Y29" s="212"/>
      <c r="Z29" s="215">
        <v>1600</v>
      </c>
      <c r="AA29" s="216"/>
      <c r="AB29" s="219">
        <f>1000/Z29*Z28</f>
        <v>3.1394675925925926E-3</v>
      </c>
      <c r="AC29" s="220"/>
      <c r="AD29" s="28"/>
      <c r="AK29" s="22" t="s">
        <v>40</v>
      </c>
      <c r="AL29" s="22"/>
      <c r="AM29" s="22"/>
      <c r="AN29">
        <v>5</v>
      </c>
      <c r="AO29">
        <v>16</v>
      </c>
    </row>
    <row r="30" spans="1:41" ht="15" customHeight="1" thickBot="1" x14ac:dyDescent="0.25">
      <c r="A30" s="27"/>
      <c r="B30" s="28"/>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K30"/>
      <c r="AL30"/>
      <c r="AM30"/>
      <c r="AN30"/>
      <c r="AO30"/>
    </row>
    <row r="31" spans="1:41" ht="22" thickTop="1" x14ac:dyDescent="0.2">
      <c r="A31" s="27"/>
      <c r="B31" s="37"/>
      <c r="C31" s="242" t="s">
        <v>76</v>
      </c>
      <c r="D31" s="243"/>
      <c r="E31" s="243"/>
      <c r="F31" s="243"/>
      <c r="G31" s="243"/>
      <c r="H31" s="243"/>
      <c r="I31" s="243"/>
      <c r="J31" s="243"/>
      <c r="K31" s="243"/>
      <c r="L31" s="243"/>
      <c r="M31" s="243"/>
      <c r="N31" s="243"/>
      <c r="O31" s="243"/>
      <c r="P31" s="243"/>
      <c r="Q31" s="243"/>
      <c r="R31" s="243"/>
      <c r="S31" s="243"/>
      <c r="T31" s="243"/>
      <c r="U31" s="243"/>
      <c r="V31" s="243"/>
      <c r="W31" s="243"/>
      <c r="X31" s="243"/>
      <c r="Y31" s="243"/>
      <c r="Z31" s="243"/>
      <c r="AA31" s="243"/>
      <c r="AB31" s="243"/>
      <c r="AC31" s="244"/>
      <c r="AD31" s="37"/>
      <c r="AK31">
        <f>WEEKDAY(I19,2)</f>
        <v>1</v>
      </c>
      <c r="AL31" t="s">
        <v>86</v>
      </c>
      <c r="AM31"/>
      <c r="AN31">
        <f>IF(AK31=1,0,1)</f>
        <v>0</v>
      </c>
      <c r="AO31"/>
    </row>
    <row r="32" spans="1:41" x14ac:dyDescent="0.2">
      <c r="A32" s="27"/>
      <c r="B32" s="37"/>
      <c r="C32" s="33"/>
      <c r="D32" s="61" t="s">
        <v>67</v>
      </c>
      <c r="E32" s="143"/>
      <c r="F32" s="143"/>
      <c r="G32" s="143"/>
      <c r="H32" s="230" t="s">
        <v>7</v>
      </c>
      <c r="I32" s="231"/>
      <c r="J32" s="231"/>
      <c r="K32" s="231"/>
      <c r="L32" s="231"/>
      <c r="M32" s="231"/>
      <c r="N32" s="231"/>
      <c r="O32" s="232"/>
      <c r="P32" s="230" t="s">
        <v>75</v>
      </c>
      <c r="Q32" s="231"/>
      <c r="R32" s="231"/>
      <c r="S32" s="231"/>
      <c r="T32" s="231"/>
      <c r="U32" s="231"/>
      <c r="V32" s="232"/>
      <c r="W32" s="245" t="s">
        <v>51</v>
      </c>
      <c r="X32" s="245"/>
      <c r="Y32" s="245"/>
      <c r="Z32" s="245"/>
      <c r="AA32" s="245"/>
      <c r="AB32" s="245"/>
      <c r="AC32" s="246"/>
      <c r="AD32" s="37"/>
      <c r="AK32">
        <f>VLOOKUP(I16,AK25:AO29,5,FALSE)</f>
        <v>12</v>
      </c>
      <c r="AL32" t="s">
        <v>87</v>
      </c>
      <c r="AM32"/>
      <c r="AN32"/>
      <c r="AO32"/>
    </row>
    <row r="33" spans="1:30" ht="15" customHeight="1" x14ac:dyDescent="0.2">
      <c r="A33" s="27"/>
      <c r="B33" s="37"/>
      <c r="C33" s="32"/>
      <c r="D33" s="61" t="s">
        <v>68</v>
      </c>
      <c r="E33" s="143"/>
      <c r="F33" s="143"/>
      <c r="G33" s="143"/>
      <c r="H33" s="91" t="s">
        <v>72</v>
      </c>
      <c r="I33" s="61"/>
      <c r="J33" s="61"/>
      <c r="K33" s="61"/>
      <c r="L33" s="61"/>
      <c r="M33" s="61"/>
      <c r="N33" s="61"/>
      <c r="O33" s="92"/>
      <c r="P33" s="91" t="s">
        <v>164</v>
      </c>
      <c r="Q33" s="61"/>
      <c r="R33" s="61"/>
      <c r="S33" s="61"/>
      <c r="T33" s="61"/>
      <c r="U33" s="61"/>
      <c r="V33" s="92"/>
      <c r="W33" s="247" t="s">
        <v>166</v>
      </c>
      <c r="X33" s="248"/>
      <c r="Y33" s="248"/>
      <c r="Z33" s="248"/>
      <c r="AA33" s="248"/>
      <c r="AB33" s="248"/>
      <c r="AC33" s="249"/>
      <c r="AD33" s="37"/>
    </row>
    <row r="34" spans="1:30" x14ac:dyDescent="0.2">
      <c r="A34" s="27"/>
      <c r="B34" s="37"/>
      <c r="C34" s="32"/>
      <c r="D34" s="61" t="s">
        <v>69</v>
      </c>
      <c r="E34" s="143"/>
      <c r="F34" s="143"/>
      <c r="G34" s="143"/>
      <c r="H34" s="91" t="s">
        <v>73</v>
      </c>
      <c r="I34" s="61"/>
      <c r="J34" s="61"/>
      <c r="K34" s="61"/>
      <c r="L34" s="61"/>
      <c r="M34" s="61"/>
      <c r="N34" s="61"/>
      <c r="O34" s="92"/>
      <c r="P34" s="91" t="s">
        <v>165</v>
      </c>
      <c r="Q34" s="61"/>
      <c r="R34" s="61"/>
      <c r="S34" s="61"/>
      <c r="T34" s="61"/>
      <c r="U34" s="61"/>
      <c r="V34" s="92"/>
      <c r="W34" s="247"/>
      <c r="X34" s="248"/>
      <c r="Y34" s="248"/>
      <c r="Z34" s="248"/>
      <c r="AA34" s="248"/>
      <c r="AB34" s="248"/>
      <c r="AC34" s="249"/>
      <c r="AD34" s="37"/>
    </row>
    <row r="35" spans="1:30" ht="15" customHeight="1" x14ac:dyDescent="0.2">
      <c r="A35" s="27"/>
      <c r="B35" s="37"/>
      <c r="C35" s="32"/>
      <c r="D35" s="61" t="s">
        <v>134</v>
      </c>
      <c r="E35" s="143"/>
      <c r="F35" s="143"/>
      <c r="G35" s="143"/>
      <c r="H35" s="91" t="s">
        <v>131</v>
      </c>
      <c r="I35" s="61"/>
      <c r="J35" s="61"/>
      <c r="K35" s="61"/>
      <c r="L35" s="61"/>
      <c r="M35" s="61"/>
      <c r="N35" s="61"/>
      <c r="O35" s="92"/>
      <c r="P35" s="247" t="s">
        <v>163</v>
      </c>
      <c r="Q35" s="248"/>
      <c r="R35" s="248"/>
      <c r="S35" s="248"/>
      <c r="T35" s="248"/>
      <c r="U35" s="248"/>
      <c r="V35" s="250"/>
      <c r="W35" s="61" t="s">
        <v>82</v>
      </c>
      <c r="X35" s="30"/>
      <c r="Y35" s="143"/>
      <c r="Z35" s="143"/>
      <c r="AA35" s="143"/>
      <c r="AB35" s="143"/>
      <c r="AC35" s="154"/>
      <c r="AD35" s="37"/>
    </row>
    <row r="36" spans="1:30" x14ac:dyDescent="0.2">
      <c r="A36" s="27"/>
      <c r="B36" s="37"/>
      <c r="C36" s="32"/>
      <c r="D36" s="61" t="s">
        <v>135</v>
      </c>
      <c r="E36" s="143"/>
      <c r="F36" s="143"/>
      <c r="G36" s="143"/>
      <c r="H36" s="91" t="s">
        <v>132</v>
      </c>
      <c r="I36" s="61"/>
      <c r="J36" s="61"/>
      <c r="K36" s="61"/>
      <c r="L36" s="61"/>
      <c r="M36" s="143"/>
      <c r="N36" s="143"/>
      <c r="O36" s="153"/>
      <c r="P36" s="247"/>
      <c r="Q36" s="248"/>
      <c r="R36" s="248"/>
      <c r="S36" s="248"/>
      <c r="T36" s="248"/>
      <c r="U36" s="248"/>
      <c r="V36" s="250"/>
      <c r="W36" s="143"/>
      <c r="X36" s="143"/>
      <c r="Y36" s="143"/>
      <c r="Z36" s="143"/>
      <c r="AA36" s="143"/>
      <c r="AB36" s="143"/>
      <c r="AC36" s="154"/>
      <c r="AD36" s="37"/>
    </row>
    <row r="37" spans="1:30" x14ac:dyDescent="0.2">
      <c r="A37" s="27"/>
      <c r="B37" s="37"/>
      <c r="C37" s="32"/>
      <c r="D37" s="61" t="s">
        <v>136</v>
      </c>
      <c r="E37" s="143"/>
      <c r="F37" s="143"/>
      <c r="G37" s="143"/>
      <c r="H37" s="142"/>
      <c r="I37" s="143"/>
      <c r="J37" s="143"/>
      <c r="K37" s="143"/>
      <c r="L37" s="143"/>
      <c r="M37" s="143"/>
      <c r="N37" s="143"/>
      <c r="O37" s="153"/>
      <c r="P37" s="142"/>
      <c r="Q37" s="143"/>
      <c r="R37" s="143"/>
      <c r="S37" s="143"/>
      <c r="T37" s="143"/>
      <c r="U37" s="143"/>
      <c r="V37" s="153"/>
      <c r="W37" s="143"/>
      <c r="X37" s="143"/>
      <c r="Y37" s="143"/>
      <c r="Z37" s="143"/>
      <c r="AA37" s="143"/>
      <c r="AB37" s="143"/>
      <c r="AC37" s="154"/>
      <c r="AD37" s="37"/>
    </row>
    <row r="38" spans="1:30" x14ac:dyDescent="0.2">
      <c r="A38" s="27"/>
      <c r="B38" s="37"/>
      <c r="C38" s="32"/>
      <c r="D38" s="61" t="s">
        <v>70</v>
      </c>
      <c r="E38" s="143"/>
      <c r="F38" s="143"/>
      <c r="G38" s="143"/>
      <c r="H38" s="91" t="s">
        <v>74</v>
      </c>
      <c r="I38" s="61"/>
      <c r="J38" s="61"/>
      <c r="K38" s="61"/>
      <c r="L38" s="61"/>
      <c r="M38" s="61"/>
      <c r="N38" s="61"/>
      <c r="O38" s="92"/>
      <c r="P38" s="91"/>
      <c r="Q38" s="143"/>
      <c r="R38" s="143"/>
      <c r="S38" s="143"/>
      <c r="T38" s="30"/>
      <c r="U38" s="30"/>
      <c r="V38" s="153"/>
      <c r="W38" s="143"/>
      <c r="X38" s="143"/>
      <c r="Y38" s="143"/>
      <c r="Z38" s="143"/>
      <c r="AA38" s="143"/>
      <c r="AB38" s="143"/>
      <c r="AC38" s="154"/>
      <c r="AD38" s="37"/>
    </row>
    <row r="39" spans="1:30" ht="15" customHeight="1" thickBot="1" x14ac:dyDescent="0.25">
      <c r="A39" s="27"/>
      <c r="B39" s="37"/>
      <c r="C39" s="32"/>
      <c r="D39" s="61" t="s">
        <v>71</v>
      </c>
      <c r="E39" s="143"/>
      <c r="F39" s="143"/>
      <c r="G39" s="143"/>
      <c r="H39" s="93" t="s">
        <v>133</v>
      </c>
      <c r="I39" s="62"/>
      <c r="J39" s="62"/>
      <c r="K39" s="62"/>
      <c r="L39" s="62"/>
      <c r="M39" s="62"/>
      <c r="N39" s="62"/>
      <c r="O39" s="98"/>
      <c r="P39" s="93"/>
      <c r="Q39" s="143"/>
      <c r="R39" s="143"/>
      <c r="S39" s="143"/>
      <c r="T39" s="143"/>
      <c r="U39" s="143"/>
      <c r="V39" s="153"/>
      <c r="W39" s="143"/>
      <c r="X39" s="143"/>
      <c r="Y39" s="143"/>
      <c r="Z39" s="143"/>
      <c r="AA39" s="143"/>
      <c r="AB39" s="143"/>
      <c r="AC39" s="154"/>
      <c r="AD39" s="37"/>
    </row>
    <row r="40" spans="1:30" ht="15.75" customHeight="1" thickBot="1" x14ac:dyDescent="0.25">
      <c r="A40" s="27"/>
      <c r="B40" s="37"/>
      <c r="C40" s="251" t="s">
        <v>52</v>
      </c>
      <c r="D40" s="252"/>
      <c r="E40" s="253" t="s">
        <v>7</v>
      </c>
      <c r="F40" s="253"/>
      <c r="G40" s="253"/>
      <c r="H40" s="253"/>
      <c r="I40" s="253"/>
      <c r="J40" s="253"/>
      <c r="K40" s="253"/>
      <c r="L40" s="253"/>
      <c r="M40" s="253"/>
      <c r="N40" s="253"/>
      <c r="O40" s="252"/>
      <c r="P40" s="254" t="s">
        <v>50</v>
      </c>
      <c r="Q40" s="253"/>
      <c r="R40" s="253"/>
      <c r="S40" s="253"/>
      <c r="T40" s="253"/>
      <c r="U40" s="253"/>
      <c r="V40" s="255"/>
      <c r="W40" s="256" t="s">
        <v>51</v>
      </c>
      <c r="X40" s="253"/>
      <c r="Y40" s="253"/>
      <c r="Z40" s="253"/>
      <c r="AA40" s="252"/>
      <c r="AB40" s="252"/>
      <c r="AC40" s="257"/>
      <c r="AD40" s="37"/>
    </row>
    <row r="41" spans="1:30" ht="15" customHeight="1" x14ac:dyDescent="0.2">
      <c r="A41" s="27"/>
      <c r="B41" s="37"/>
      <c r="C41" s="235" t="s">
        <v>137</v>
      </c>
      <c r="D41" s="236"/>
      <c r="E41" s="200" t="s">
        <v>0</v>
      </c>
      <c r="F41" s="201"/>
      <c r="G41" s="158">
        <v>1.0551697530864197E-3</v>
      </c>
      <c r="H41" s="158">
        <v>2.6379243827160492E-3</v>
      </c>
      <c r="I41" s="158"/>
      <c r="J41" s="148"/>
      <c r="K41" s="201" t="s">
        <v>4</v>
      </c>
      <c r="L41" s="201"/>
      <c r="M41" s="158">
        <v>3.3135609567901229E-3</v>
      </c>
      <c r="N41" s="158">
        <v>2.7613007973251026E-3</v>
      </c>
      <c r="O41" s="158"/>
      <c r="P41" s="94"/>
      <c r="Q41" s="258" t="s">
        <v>91</v>
      </c>
      <c r="R41" s="258"/>
      <c r="S41" s="258"/>
      <c r="T41" s="259">
        <v>3.0324074074074073E-3</v>
      </c>
      <c r="U41" s="259"/>
      <c r="V41" s="95"/>
      <c r="W41" s="148"/>
      <c r="X41" s="260" t="s">
        <v>94</v>
      </c>
      <c r="Y41" s="260"/>
      <c r="Z41" s="260"/>
      <c r="AA41" s="261">
        <v>3.3584104938271606E-3</v>
      </c>
      <c r="AB41" s="261"/>
      <c r="AC41" s="68"/>
      <c r="AD41" s="37"/>
    </row>
    <row r="42" spans="1:30" ht="15.75" customHeight="1" x14ac:dyDescent="0.2">
      <c r="A42" s="27"/>
      <c r="B42" s="37"/>
      <c r="C42" s="237"/>
      <c r="D42" s="238"/>
      <c r="E42" s="202" t="s">
        <v>1</v>
      </c>
      <c r="F42" s="203"/>
      <c r="G42" s="158">
        <v>1.6116898148148149E-3</v>
      </c>
      <c r="H42" s="158">
        <v>2.6861496913580252E-3</v>
      </c>
      <c r="I42" s="158"/>
      <c r="J42" s="148"/>
      <c r="K42" s="203" t="s">
        <v>5</v>
      </c>
      <c r="L42" s="203"/>
      <c r="M42" s="158">
        <v>4.5076195987654322E-3</v>
      </c>
      <c r="N42" s="158">
        <v>2.8172622492283949E-3</v>
      </c>
      <c r="O42" s="158"/>
      <c r="P42" s="94"/>
      <c r="Q42" s="258" t="s">
        <v>92</v>
      </c>
      <c r="R42" s="258"/>
      <c r="S42" s="258"/>
      <c r="T42" s="261">
        <v>3.1481481481481482E-3</v>
      </c>
      <c r="U42" s="261"/>
      <c r="V42" s="95"/>
      <c r="W42" s="148"/>
      <c r="X42" s="258" t="s">
        <v>95</v>
      </c>
      <c r="Y42" s="258"/>
      <c r="Z42" s="258"/>
      <c r="AA42" s="261">
        <v>3.2040895061728391E-3</v>
      </c>
      <c r="AB42" s="261"/>
      <c r="AC42" s="68"/>
      <c r="AD42" s="37"/>
    </row>
    <row r="43" spans="1:30" ht="15" customHeight="1" x14ac:dyDescent="0.2">
      <c r="A43" s="27"/>
      <c r="B43" s="37"/>
      <c r="C43" s="237"/>
      <c r="D43" s="238"/>
      <c r="E43" s="202" t="s">
        <v>2</v>
      </c>
      <c r="F43" s="203"/>
      <c r="G43" s="158">
        <v>2.1566358024691359E-3</v>
      </c>
      <c r="H43" s="158">
        <v>2.6957947530864201E-3</v>
      </c>
      <c r="I43" s="158"/>
      <c r="J43" s="148"/>
      <c r="K43" s="203" t="s">
        <v>6</v>
      </c>
      <c r="L43" s="203"/>
      <c r="M43" s="158">
        <v>5.6925154320987652E-3</v>
      </c>
      <c r="N43" s="158">
        <v>2.8462577160493826E-3</v>
      </c>
      <c r="O43" s="158"/>
      <c r="P43" s="94"/>
      <c r="Q43" s="258" t="s">
        <v>93</v>
      </c>
      <c r="R43" s="258"/>
      <c r="S43" s="258"/>
      <c r="T43" s="261">
        <v>3.2523148148148147E-3</v>
      </c>
      <c r="U43" s="261"/>
      <c r="V43" s="95"/>
      <c r="W43" s="148"/>
      <c r="X43" s="148"/>
      <c r="Y43" s="148"/>
      <c r="Z43" s="148"/>
      <c r="AA43" s="148"/>
      <c r="AB43" s="148"/>
      <c r="AC43" s="68"/>
      <c r="AD43" s="37"/>
    </row>
    <row r="44" spans="1:30" ht="15" customHeight="1" thickBot="1" x14ac:dyDescent="0.25">
      <c r="A44" s="27"/>
      <c r="B44" s="37"/>
      <c r="C44" s="239"/>
      <c r="D44" s="240"/>
      <c r="E44" s="204" t="s">
        <v>3</v>
      </c>
      <c r="F44" s="205"/>
      <c r="G44" s="160">
        <v>2.7247299382716049E-3</v>
      </c>
      <c r="H44" s="160">
        <v>2.7247299382716049E-3</v>
      </c>
      <c r="I44" s="160"/>
      <c r="J44" s="70"/>
      <c r="K44" s="70"/>
      <c r="L44" s="70"/>
      <c r="M44" s="70"/>
      <c r="N44" s="70"/>
      <c r="O44" s="70"/>
      <c r="P44" s="96"/>
      <c r="Q44" s="258" t="s">
        <v>179</v>
      </c>
      <c r="R44" s="258"/>
      <c r="S44" s="258"/>
      <c r="T44" s="261">
        <v>3.7268518518518519E-3</v>
      </c>
      <c r="U44" s="261"/>
      <c r="V44" s="81"/>
      <c r="W44" s="148"/>
      <c r="X44" s="148"/>
      <c r="Y44" s="148"/>
      <c r="Z44" s="148"/>
      <c r="AA44" s="106">
        <v>42654</v>
      </c>
      <c r="AB44" s="106">
        <v>42657</v>
      </c>
      <c r="AC44" s="107">
        <v>42659</v>
      </c>
      <c r="AD44" s="37"/>
    </row>
    <row r="45" spans="1:30" ht="15" customHeight="1" x14ac:dyDescent="0.2">
      <c r="A45" s="27"/>
      <c r="B45" s="37"/>
      <c r="C45" s="172">
        <v>1</v>
      </c>
      <c r="D45" s="173"/>
      <c r="E45" s="178">
        <f>AA44</f>
        <v>42654</v>
      </c>
      <c r="F45" s="179"/>
      <c r="G45" s="179"/>
      <c r="H45" s="179"/>
      <c r="I45" s="179"/>
      <c r="J45" s="179"/>
      <c r="K45" s="179"/>
      <c r="L45" s="179"/>
      <c r="M45" s="179"/>
      <c r="N45" s="179"/>
      <c r="O45" s="179"/>
      <c r="P45" s="178">
        <f>AB44</f>
        <v>42657</v>
      </c>
      <c r="Q45" s="179"/>
      <c r="R45" s="179"/>
      <c r="S45" s="179"/>
      <c r="T45" s="179"/>
      <c r="U45" s="179"/>
      <c r="V45" s="180"/>
      <c r="W45" s="179">
        <f>AC44</f>
        <v>42659</v>
      </c>
      <c r="X45" s="179"/>
      <c r="Y45" s="179"/>
      <c r="Z45" s="179"/>
      <c r="AA45" s="179"/>
      <c r="AB45" s="179"/>
      <c r="AC45" s="181"/>
      <c r="AD45" s="37"/>
    </row>
    <row r="46" spans="1:30" ht="15.75" customHeight="1" x14ac:dyDescent="0.2">
      <c r="A46" s="27"/>
      <c r="B46" s="37"/>
      <c r="C46" s="174"/>
      <c r="D46" s="175"/>
      <c r="E46" s="182" t="s">
        <v>99</v>
      </c>
      <c r="F46" s="183"/>
      <c r="G46" s="183"/>
      <c r="H46" s="184"/>
      <c r="I46" s="185" t="s">
        <v>101</v>
      </c>
      <c r="J46" s="183"/>
      <c r="K46" s="183"/>
      <c r="L46" s="184"/>
      <c r="M46" s="183" t="s">
        <v>100</v>
      </c>
      <c r="N46" s="183"/>
      <c r="O46" s="183"/>
      <c r="P46" s="182" t="s">
        <v>99</v>
      </c>
      <c r="Q46" s="183"/>
      <c r="R46" s="183"/>
      <c r="S46" s="183"/>
      <c r="T46" s="185" t="s">
        <v>100</v>
      </c>
      <c r="U46" s="183"/>
      <c r="V46" s="186"/>
      <c r="W46" s="183" t="s">
        <v>99</v>
      </c>
      <c r="X46" s="183"/>
      <c r="Y46" s="183"/>
      <c r="Z46" s="183"/>
      <c r="AA46" s="185" t="s">
        <v>100</v>
      </c>
      <c r="AB46" s="183"/>
      <c r="AC46" s="187"/>
      <c r="AD46" s="104"/>
    </row>
    <row r="47" spans="1:30" ht="15" customHeight="1" x14ac:dyDescent="0.2">
      <c r="A47" s="27"/>
      <c r="B47" s="37"/>
      <c r="C47" s="174"/>
      <c r="D47" s="175"/>
      <c r="E47" s="188" t="s">
        <v>110</v>
      </c>
      <c r="F47" s="189"/>
      <c r="G47" s="189"/>
      <c r="H47" s="190"/>
      <c r="I47" s="60" t="s">
        <v>113</v>
      </c>
      <c r="J47" s="60" t="s">
        <v>114</v>
      </c>
      <c r="K47" s="71" t="s">
        <v>115</v>
      </c>
      <c r="L47" s="144" t="s">
        <v>116</v>
      </c>
      <c r="M47" s="74" t="s">
        <v>96</v>
      </c>
      <c r="N47" s="191"/>
      <c r="O47" s="191"/>
      <c r="P47" s="188" t="s">
        <v>110</v>
      </c>
      <c r="Q47" s="189"/>
      <c r="R47" s="189"/>
      <c r="S47" s="189"/>
      <c r="T47" s="77" t="s">
        <v>96</v>
      </c>
      <c r="U47" s="191"/>
      <c r="V47" s="192"/>
      <c r="W47" s="189" t="s">
        <v>110</v>
      </c>
      <c r="X47" s="189"/>
      <c r="Y47" s="189"/>
      <c r="Z47" s="189"/>
      <c r="AA47" s="77" t="s">
        <v>96</v>
      </c>
      <c r="AB47" s="191"/>
      <c r="AC47" s="193"/>
      <c r="AD47" s="37"/>
    </row>
    <row r="48" spans="1:30" ht="15" customHeight="1" x14ac:dyDescent="0.2">
      <c r="A48" s="27"/>
      <c r="B48" s="37"/>
      <c r="C48" s="174"/>
      <c r="D48" s="175"/>
      <c r="E48" s="142" t="s">
        <v>53</v>
      </c>
      <c r="F48" s="143" t="s">
        <v>54</v>
      </c>
      <c r="G48" s="143" t="s">
        <v>90</v>
      </c>
      <c r="H48" s="144" t="s">
        <v>55</v>
      </c>
      <c r="I48" s="60" t="s">
        <v>102</v>
      </c>
      <c r="J48" s="60">
        <f>G49</f>
        <v>1.0551697530864197E-3</v>
      </c>
      <c r="K48" s="71"/>
      <c r="L48" s="52" t="str">
        <f>IF(K48="","",ABS(J48-K48))</f>
        <v/>
      </c>
      <c r="M48" s="146" t="s">
        <v>97</v>
      </c>
      <c r="N48" s="164"/>
      <c r="O48" s="164"/>
      <c r="P48" s="142" t="s">
        <v>54</v>
      </c>
      <c r="Q48" s="143" t="s">
        <v>65</v>
      </c>
      <c r="R48" s="141" t="s">
        <v>117</v>
      </c>
      <c r="S48" s="143" t="s">
        <v>116</v>
      </c>
      <c r="T48" s="145" t="s">
        <v>97</v>
      </c>
      <c r="U48" s="164"/>
      <c r="V48" s="168"/>
      <c r="W48" s="143" t="s">
        <v>54</v>
      </c>
      <c r="X48" s="143" t="s">
        <v>65</v>
      </c>
      <c r="Y48" s="141" t="s">
        <v>117</v>
      </c>
      <c r="Z48" s="143" t="s">
        <v>116</v>
      </c>
      <c r="AA48" s="145" t="s">
        <v>97</v>
      </c>
      <c r="AB48" s="164"/>
      <c r="AC48" s="169"/>
      <c r="AD48" s="37"/>
    </row>
    <row r="49" spans="1:30" ht="15" customHeight="1" x14ac:dyDescent="0.2">
      <c r="A49" s="27"/>
      <c r="B49" s="37"/>
      <c r="C49" s="174"/>
      <c r="D49" s="175"/>
      <c r="E49" s="142" t="s">
        <v>56</v>
      </c>
      <c r="F49" s="143">
        <v>400</v>
      </c>
      <c r="G49" s="60">
        <f>G41</f>
        <v>1.0551697530864197E-3</v>
      </c>
      <c r="H49" s="144" t="s">
        <v>57</v>
      </c>
      <c r="I49" s="60" t="s">
        <v>103</v>
      </c>
      <c r="J49" s="60">
        <f>J48</f>
        <v>1.0551697530864197E-3</v>
      </c>
      <c r="K49" s="71"/>
      <c r="L49" s="52" t="str">
        <f t="shared" ref="L49:L55" si="2">IF(K49="","",ABS(J49-K49))</f>
        <v/>
      </c>
      <c r="M49" s="146" t="s">
        <v>98</v>
      </c>
      <c r="N49" s="164"/>
      <c r="O49" s="164"/>
      <c r="P49" s="142" t="s">
        <v>118</v>
      </c>
      <c r="Q49" s="60">
        <f>T41</f>
        <v>3.0324074074074073E-3</v>
      </c>
      <c r="R49" s="71"/>
      <c r="S49" s="76" t="str">
        <f>IF(R49="","",ABS(Q49-R49))</f>
        <v/>
      </c>
      <c r="T49" s="145" t="s">
        <v>98</v>
      </c>
      <c r="U49" s="164"/>
      <c r="V49" s="168"/>
      <c r="W49" s="143" t="s">
        <v>121</v>
      </c>
      <c r="X49" s="60">
        <f>T43</f>
        <v>3.2523148148148147E-3</v>
      </c>
      <c r="Y49" s="71"/>
      <c r="Z49" s="52" t="str">
        <f>IF(Y49="","",ABS(X49-Y49))</f>
        <v/>
      </c>
      <c r="AA49" s="145" t="s">
        <v>98</v>
      </c>
      <c r="AB49" s="164"/>
      <c r="AC49" s="169"/>
      <c r="AD49" s="37"/>
    </row>
    <row r="50" spans="1:30" ht="15" customHeight="1" x14ac:dyDescent="0.2">
      <c r="A50" s="27"/>
      <c r="B50" s="37"/>
      <c r="C50" s="174"/>
      <c r="D50" s="175"/>
      <c r="E50" s="165" t="s">
        <v>111</v>
      </c>
      <c r="F50" s="166"/>
      <c r="G50" s="166"/>
      <c r="H50" s="167"/>
      <c r="I50" s="60" t="s">
        <v>104</v>
      </c>
      <c r="J50" s="60">
        <f t="shared" ref="J50:J55" si="3">J49</f>
        <v>1.0551697530864197E-3</v>
      </c>
      <c r="K50" s="71"/>
      <c r="L50" s="52" t="str">
        <f t="shared" si="2"/>
        <v/>
      </c>
      <c r="M50" s="170" t="s">
        <v>112</v>
      </c>
      <c r="N50" s="171"/>
      <c r="O50" s="90"/>
      <c r="P50" s="165" t="s">
        <v>111</v>
      </c>
      <c r="Q50" s="166"/>
      <c r="R50" s="166"/>
      <c r="S50" s="166"/>
      <c r="T50" s="170" t="s">
        <v>112</v>
      </c>
      <c r="U50" s="171"/>
      <c r="V50" s="83"/>
      <c r="W50" s="166" t="s">
        <v>111</v>
      </c>
      <c r="X50" s="166"/>
      <c r="Y50" s="166"/>
      <c r="Z50" s="167"/>
      <c r="AA50" s="170" t="s">
        <v>112</v>
      </c>
      <c r="AB50" s="171"/>
      <c r="AC50" s="80"/>
      <c r="AD50" s="37"/>
    </row>
    <row r="51" spans="1:30" ht="15" customHeight="1" x14ac:dyDescent="0.2">
      <c r="A51" s="27"/>
      <c r="B51" s="37"/>
      <c r="C51" s="174"/>
      <c r="D51" s="175"/>
      <c r="E51" s="84"/>
      <c r="F51" s="60"/>
      <c r="G51" s="60"/>
      <c r="H51" s="144"/>
      <c r="I51" s="60" t="s">
        <v>105</v>
      </c>
      <c r="J51" s="60">
        <f t="shared" si="3"/>
        <v>1.0551697530864197E-3</v>
      </c>
      <c r="K51" s="71"/>
      <c r="L51" s="52" t="str">
        <f t="shared" si="2"/>
        <v/>
      </c>
      <c r="M51" s="163" t="s">
        <v>88</v>
      </c>
      <c r="N51" s="164"/>
      <c r="O51" s="164"/>
      <c r="P51" s="142"/>
      <c r="Q51" s="143"/>
      <c r="R51" s="143"/>
      <c r="S51" s="143"/>
      <c r="T51" s="163" t="s">
        <v>88</v>
      </c>
      <c r="U51" s="164"/>
      <c r="V51" s="168"/>
      <c r="W51" s="30"/>
      <c r="X51" s="30"/>
      <c r="Y51" s="30"/>
      <c r="Z51" s="30"/>
      <c r="AA51" s="163" t="s">
        <v>88</v>
      </c>
      <c r="AB51" s="164"/>
      <c r="AC51" s="169"/>
      <c r="AD51" s="37"/>
    </row>
    <row r="52" spans="1:30" ht="15" customHeight="1" x14ac:dyDescent="0.2">
      <c r="A52" s="27"/>
      <c r="B52" s="37"/>
      <c r="C52" s="174"/>
      <c r="D52" s="175"/>
      <c r="E52" s="84"/>
      <c r="F52" s="60"/>
      <c r="G52" s="60"/>
      <c r="H52" s="144"/>
      <c r="I52" s="60" t="s">
        <v>106</v>
      </c>
      <c r="J52" s="60">
        <f t="shared" si="3"/>
        <v>1.0551697530864197E-3</v>
      </c>
      <c r="K52" s="71"/>
      <c r="L52" s="52" t="str">
        <f t="shared" si="2"/>
        <v/>
      </c>
      <c r="M52" s="163"/>
      <c r="N52" s="164"/>
      <c r="O52" s="164"/>
      <c r="P52" s="142"/>
      <c r="Q52" s="143"/>
      <c r="R52" s="143"/>
      <c r="S52" s="143"/>
      <c r="T52" s="163"/>
      <c r="U52" s="164"/>
      <c r="V52" s="168"/>
      <c r="W52" s="30"/>
      <c r="X52" s="30"/>
      <c r="Y52" s="30"/>
      <c r="Z52" s="30"/>
      <c r="AA52" s="163"/>
      <c r="AB52" s="164"/>
      <c r="AC52" s="169"/>
      <c r="AD52" s="37"/>
    </row>
    <row r="53" spans="1:30" ht="15.75" customHeight="1" x14ac:dyDescent="0.2">
      <c r="A53" s="27"/>
      <c r="B53" s="37"/>
      <c r="C53" s="174"/>
      <c r="D53" s="175"/>
      <c r="E53" s="84"/>
      <c r="F53" s="60"/>
      <c r="G53" s="60"/>
      <c r="H53" s="144"/>
      <c r="I53" s="60" t="s">
        <v>107</v>
      </c>
      <c r="J53" s="60">
        <f t="shared" si="3"/>
        <v>1.0551697530864197E-3</v>
      </c>
      <c r="K53" s="71"/>
      <c r="L53" s="52" t="str">
        <f t="shared" si="2"/>
        <v/>
      </c>
      <c r="M53" s="143"/>
      <c r="N53" s="143"/>
      <c r="O53" s="30"/>
      <c r="P53" s="142"/>
      <c r="Q53" s="143"/>
      <c r="R53" s="143"/>
      <c r="S53" s="143"/>
      <c r="T53" s="152"/>
      <c r="U53" s="143"/>
      <c r="V53" s="85"/>
      <c r="W53" s="30"/>
      <c r="X53" s="30"/>
      <c r="Y53" s="30"/>
      <c r="Z53" s="30"/>
      <c r="AA53" s="152"/>
      <c r="AB53" s="143"/>
      <c r="AC53" s="35"/>
      <c r="AD53" s="37"/>
    </row>
    <row r="54" spans="1:30" ht="15" customHeight="1" x14ac:dyDescent="0.2">
      <c r="A54" s="27"/>
      <c r="B54" s="37"/>
      <c r="C54" s="174"/>
      <c r="D54" s="175"/>
      <c r="E54" s="84"/>
      <c r="F54" s="60"/>
      <c r="G54" s="60"/>
      <c r="H54" s="144"/>
      <c r="I54" s="60" t="s">
        <v>108</v>
      </c>
      <c r="J54" s="60">
        <f t="shared" si="3"/>
        <v>1.0551697530864197E-3</v>
      </c>
      <c r="K54" s="71"/>
      <c r="L54" s="52" t="str">
        <f t="shared" si="2"/>
        <v/>
      </c>
      <c r="M54" s="143"/>
      <c r="N54" s="143"/>
      <c r="O54" s="143"/>
      <c r="P54" s="142"/>
      <c r="Q54" s="143"/>
      <c r="R54" s="143"/>
      <c r="S54" s="143"/>
      <c r="T54" s="152"/>
      <c r="U54" s="143"/>
      <c r="V54" s="153"/>
      <c r="W54" s="30"/>
      <c r="X54" s="30"/>
      <c r="Y54" s="30"/>
      <c r="Z54" s="30"/>
      <c r="AA54" s="152"/>
      <c r="AB54" s="143"/>
      <c r="AC54" s="154"/>
      <c r="AD54" s="37"/>
    </row>
    <row r="55" spans="1:30" ht="15.75" customHeight="1" thickBot="1" x14ac:dyDescent="0.25">
      <c r="A55" s="27"/>
      <c r="B55" s="37"/>
      <c r="C55" s="198"/>
      <c r="D55" s="199"/>
      <c r="E55" s="87"/>
      <c r="F55" s="149"/>
      <c r="G55" s="149"/>
      <c r="H55" s="151"/>
      <c r="I55" s="149" t="s">
        <v>109</v>
      </c>
      <c r="J55" s="60">
        <f t="shared" si="3"/>
        <v>1.0551697530864197E-3</v>
      </c>
      <c r="K55" s="72"/>
      <c r="L55" s="52" t="str">
        <f t="shared" si="2"/>
        <v/>
      </c>
      <c r="M55" s="194"/>
      <c r="N55" s="195"/>
      <c r="O55" s="195"/>
      <c r="P55" s="150"/>
      <c r="Q55" s="147"/>
      <c r="R55" s="147"/>
      <c r="S55" s="147"/>
      <c r="T55" s="194"/>
      <c r="U55" s="195"/>
      <c r="V55" s="196"/>
      <c r="W55" s="34"/>
      <c r="X55" s="34"/>
      <c r="Y55" s="34"/>
      <c r="Z55" s="34"/>
      <c r="AA55" s="194"/>
      <c r="AB55" s="195"/>
      <c r="AC55" s="197"/>
      <c r="AD55" s="37"/>
    </row>
    <row r="56" spans="1:30" ht="15" customHeight="1" x14ac:dyDescent="0.2">
      <c r="A56" s="27"/>
      <c r="B56" s="37"/>
      <c r="C56" s="172">
        <f>C45+1</f>
        <v>2</v>
      </c>
      <c r="D56" s="173"/>
      <c r="E56" s="178">
        <f>E45+(C56-1)*7</f>
        <v>42661</v>
      </c>
      <c r="F56" s="179"/>
      <c r="G56" s="179"/>
      <c r="H56" s="179"/>
      <c r="I56" s="179"/>
      <c r="J56" s="179"/>
      <c r="K56" s="179"/>
      <c r="L56" s="179"/>
      <c r="M56" s="179"/>
      <c r="N56" s="179"/>
      <c r="O56" s="179"/>
      <c r="P56" s="178">
        <f>P45+(C56-1)*7</f>
        <v>42664</v>
      </c>
      <c r="Q56" s="179"/>
      <c r="R56" s="179"/>
      <c r="S56" s="179"/>
      <c r="T56" s="179"/>
      <c r="U56" s="179"/>
      <c r="V56" s="180"/>
      <c r="W56" s="179">
        <f>W45+(C56-1)*7</f>
        <v>42666</v>
      </c>
      <c r="X56" s="179"/>
      <c r="Y56" s="179"/>
      <c r="Z56" s="179"/>
      <c r="AA56" s="179"/>
      <c r="AB56" s="179"/>
      <c r="AC56" s="181"/>
      <c r="AD56" s="37"/>
    </row>
    <row r="57" spans="1:30" ht="15" customHeight="1" x14ac:dyDescent="0.2">
      <c r="A57" s="27"/>
      <c r="B57" s="37"/>
      <c r="C57" s="174"/>
      <c r="D57" s="175"/>
      <c r="E57" s="182" t="s">
        <v>99</v>
      </c>
      <c r="F57" s="183"/>
      <c r="G57" s="183"/>
      <c r="H57" s="184"/>
      <c r="I57" s="185" t="s">
        <v>101</v>
      </c>
      <c r="J57" s="183"/>
      <c r="K57" s="183"/>
      <c r="L57" s="184"/>
      <c r="M57" s="183" t="s">
        <v>100</v>
      </c>
      <c r="N57" s="183"/>
      <c r="O57" s="183"/>
      <c r="P57" s="182" t="s">
        <v>99</v>
      </c>
      <c r="Q57" s="183"/>
      <c r="R57" s="183"/>
      <c r="S57" s="183"/>
      <c r="T57" s="185" t="s">
        <v>100</v>
      </c>
      <c r="U57" s="183"/>
      <c r="V57" s="186"/>
      <c r="W57" s="183" t="s">
        <v>99</v>
      </c>
      <c r="X57" s="183"/>
      <c r="Y57" s="183"/>
      <c r="Z57" s="183"/>
      <c r="AA57" s="185" t="s">
        <v>100</v>
      </c>
      <c r="AB57" s="183"/>
      <c r="AC57" s="187"/>
      <c r="AD57" s="37"/>
    </row>
    <row r="58" spans="1:30" ht="15" customHeight="1" x14ac:dyDescent="0.2">
      <c r="A58" s="27"/>
      <c r="B58" s="37"/>
      <c r="C58" s="174"/>
      <c r="D58" s="175"/>
      <c r="E58" s="188" t="s">
        <v>110</v>
      </c>
      <c r="F58" s="189"/>
      <c r="G58" s="189"/>
      <c r="H58" s="190"/>
      <c r="I58" s="60" t="s">
        <v>113</v>
      </c>
      <c r="J58" s="60" t="s">
        <v>114</v>
      </c>
      <c r="K58" s="71" t="s">
        <v>115</v>
      </c>
      <c r="L58" s="144" t="s">
        <v>116</v>
      </c>
      <c r="M58" s="74" t="s">
        <v>96</v>
      </c>
      <c r="N58" s="191"/>
      <c r="O58" s="191"/>
      <c r="P58" s="188" t="s">
        <v>110</v>
      </c>
      <c r="Q58" s="189"/>
      <c r="R58" s="189"/>
      <c r="S58" s="189"/>
      <c r="T58" s="77" t="s">
        <v>96</v>
      </c>
      <c r="U58" s="191"/>
      <c r="V58" s="192"/>
      <c r="W58" s="189" t="s">
        <v>110</v>
      </c>
      <c r="X58" s="189"/>
      <c r="Y58" s="189"/>
      <c r="Z58" s="189"/>
      <c r="AA58" s="77" t="s">
        <v>96</v>
      </c>
      <c r="AB58" s="191"/>
      <c r="AC58" s="193"/>
      <c r="AD58" s="37"/>
    </row>
    <row r="59" spans="1:30" ht="15" customHeight="1" x14ac:dyDescent="0.2">
      <c r="A59" s="27"/>
      <c r="B59" s="37"/>
      <c r="C59" s="174"/>
      <c r="D59" s="175"/>
      <c r="E59" s="142" t="s">
        <v>53</v>
      </c>
      <c r="F59" s="143" t="s">
        <v>54</v>
      </c>
      <c r="G59" s="143" t="s">
        <v>90</v>
      </c>
      <c r="H59" s="144" t="s">
        <v>55</v>
      </c>
      <c r="I59" s="60" t="s">
        <v>102</v>
      </c>
      <c r="J59" s="60">
        <f>G60</f>
        <v>2.1566358024691359E-3</v>
      </c>
      <c r="K59" s="71"/>
      <c r="L59" s="52" t="str">
        <f>IF(K59="","",ABS(J59-K59))</f>
        <v/>
      </c>
      <c r="M59" s="146" t="s">
        <v>97</v>
      </c>
      <c r="N59" s="164"/>
      <c r="O59" s="164"/>
      <c r="P59" s="142" t="s">
        <v>54</v>
      </c>
      <c r="Q59" s="143" t="s">
        <v>65</v>
      </c>
      <c r="R59" s="141" t="s">
        <v>117</v>
      </c>
      <c r="S59" s="143" t="s">
        <v>116</v>
      </c>
      <c r="T59" s="145" t="s">
        <v>97</v>
      </c>
      <c r="U59" s="164"/>
      <c r="V59" s="168"/>
      <c r="W59" s="143" t="s">
        <v>54</v>
      </c>
      <c r="X59" s="143" t="s">
        <v>65</v>
      </c>
      <c r="Y59" s="141" t="s">
        <v>117</v>
      </c>
      <c r="Z59" s="143" t="s">
        <v>116</v>
      </c>
      <c r="AA59" s="145" t="s">
        <v>97</v>
      </c>
      <c r="AB59" s="164"/>
      <c r="AC59" s="169"/>
      <c r="AD59" s="37"/>
    </row>
    <row r="60" spans="1:30" ht="15" customHeight="1" x14ac:dyDescent="0.2">
      <c r="A60" s="27"/>
      <c r="B60" s="37"/>
      <c r="C60" s="174"/>
      <c r="D60" s="175"/>
      <c r="E60" s="142" t="s">
        <v>58</v>
      </c>
      <c r="F60" s="143">
        <v>800</v>
      </c>
      <c r="G60" s="60">
        <f>G43</f>
        <v>2.1566358024691359E-3</v>
      </c>
      <c r="H60" s="144" t="s">
        <v>57</v>
      </c>
      <c r="I60" s="60" t="s">
        <v>103</v>
      </c>
      <c r="J60" s="60">
        <f>J59</f>
        <v>2.1566358024691359E-3</v>
      </c>
      <c r="K60" s="71"/>
      <c r="L60" s="52" t="str">
        <f t="shared" ref="L60:L63" si="4">IF(K60="","",ABS(J60-K60))</f>
        <v/>
      </c>
      <c r="M60" s="146" t="s">
        <v>98</v>
      </c>
      <c r="N60" s="164"/>
      <c r="O60" s="164"/>
      <c r="P60" s="142" t="s">
        <v>118</v>
      </c>
      <c r="Q60" s="60">
        <f>T41</f>
        <v>3.0324074074074073E-3</v>
      </c>
      <c r="R60" s="71"/>
      <c r="S60" s="52" t="str">
        <f>IF(R60="","",ABS(Q60-R60))</f>
        <v/>
      </c>
      <c r="T60" s="145" t="s">
        <v>98</v>
      </c>
      <c r="U60" s="164"/>
      <c r="V60" s="168"/>
      <c r="W60" s="143" t="s">
        <v>124</v>
      </c>
      <c r="X60" s="60">
        <f>T43</f>
        <v>3.2523148148148147E-3</v>
      </c>
      <c r="Y60" s="71"/>
      <c r="Z60" s="52" t="str">
        <f>IF(Y60="","",ABS(X60-Y60))</f>
        <v/>
      </c>
      <c r="AA60" s="145" t="s">
        <v>98</v>
      </c>
      <c r="AB60" s="164"/>
      <c r="AC60" s="169"/>
      <c r="AD60" s="37"/>
    </row>
    <row r="61" spans="1:30" ht="15.75" customHeight="1" x14ac:dyDescent="0.2">
      <c r="A61" s="27"/>
      <c r="B61" s="37"/>
      <c r="C61" s="174"/>
      <c r="D61" s="175"/>
      <c r="E61" s="165" t="s">
        <v>111</v>
      </c>
      <c r="F61" s="166"/>
      <c r="G61" s="166"/>
      <c r="H61" s="167"/>
      <c r="I61" s="60" t="s">
        <v>104</v>
      </c>
      <c r="J61" s="60">
        <f t="shared" ref="J61:J63" si="5">J60</f>
        <v>2.1566358024691359E-3</v>
      </c>
      <c r="K61" s="71"/>
      <c r="L61" s="52" t="str">
        <f t="shared" si="4"/>
        <v/>
      </c>
      <c r="M61" s="170" t="s">
        <v>112</v>
      </c>
      <c r="N61" s="171"/>
      <c r="O61" s="90"/>
      <c r="P61" s="142" t="s">
        <v>122</v>
      </c>
      <c r="Q61" s="60">
        <f>T44</f>
        <v>3.7268518518518519E-3</v>
      </c>
      <c r="R61" s="71"/>
      <c r="S61" s="52" t="str">
        <f>IF(R61="","",ABS(Q61-R61))</f>
        <v/>
      </c>
      <c r="T61" s="170" t="s">
        <v>112</v>
      </c>
      <c r="U61" s="171"/>
      <c r="V61" s="83"/>
      <c r="W61" s="166" t="s">
        <v>111</v>
      </c>
      <c r="X61" s="166"/>
      <c r="Y61" s="166"/>
      <c r="Z61" s="167"/>
      <c r="AA61" s="170" t="s">
        <v>112</v>
      </c>
      <c r="AB61" s="171"/>
      <c r="AC61" s="80"/>
      <c r="AD61" s="37"/>
    </row>
    <row r="62" spans="1:30" ht="15" customHeight="1" x14ac:dyDescent="0.2">
      <c r="A62" s="27"/>
      <c r="B62" s="37"/>
      <c r="C62" s="174"/>
      <c r="D62" s="175"/>
      <c r="E62" s="84"/>
      <c r="F62" s="60"/>
      <c r="G62" s="60"/>
      <c r="H62" s="144"/>
      <c r="I62" s="60" t="s">
        <v>105</v>
      </c>
      <c r="J62" s="60">
        <f t="shared" si="5"/>
        <v>2.1566358024691359E-3</v>
      </c>
      <c r="K62" s="71"/>
      <c r="L62" s="52" t="str">
        <f t="shared" si="4"/>
        <v/>
      </c>
      <c r="M62" s="163" t="s">
        <v>88</v>
      </c>
      <c r="N62" s="164"/>
      <c r="O62" s="164"/>
      <c r="P62" s="142" t="s">
        <v>118</v>
      </c>
      <c r="Q62" s="60">
        <f>Q60</f>
        <v>3.0324074074074073E-3</v>
      </c>
      <c r="R62" s="71"/>
      <c r="S62" s="52" t="str">
        <f>IF(R62="","",ABS(Q62-R62))</f>
        <v/>
      </c>
      <c r="T62" s="163" t="s">
        <v>88</v>
      </c>
      <c r="U62" s="164"/>
      <c r="V62" s="168"/>
      <c r="W62" s="30"/>
      <c r="X62" s="30"/>
      <c r="Y62" s="30"/>
      <c r="Z62" s="30"/>
      <c r="AA62" s="163" t="s">
        <v>88</v>
      </c>
      <c r="AB62" s="164"/>
      <c r="AC62" s="169"/>
      <c r="AD62" s="37"/>
    </row>
    <row r="63" spans="1:30" ht="15.75" customHeight="1" thickBot="1" x14ac:dyDescent="0.25">
      <c r="A63" s="27"/>
      <c r="B63" s="37"/>
      <c r="C63" s="174"/>
      <c r="D63" s="175"/>
      <c r="E63" s="84"/>
      <c r="F63" s="60"/>
      <c r="G63" s="60"/>
      <c r="H63" s="144"/>
      <c r="I63" s="60" t="s">
        <v>106</v>
      </c>
      <c r="J63" s="60">
        <f t="shared" si="5"/>
        <v>2.1566358024691359E-3</v>
      </c>
      <c r="K63" s="71"/>
      <c r="L63" s="52" t="str">
        <f t="shared" si="4"/>
        <v/>
      </c>
      <c r="M63" s="163"/>
      <c r="N63" s="164"/>
      <c r="O63" s="164"/>
      <c r="P63" s="165" t="s">
        <v>111</v>
      </c>
      <c r="Q63" s="166"/>
      <c r="R63" s="166"/>
      <c r="S63" s="167"/>
      <c r="T63" s="163"/>
      <c r="U63" s="164"/>
      <c r="V63" s="168"/>
      <c r="W63" s="30"/>
      <c r="X63" s="30"/>
      <c r="Y63" s="30"/>
      <c r="Z63" s="30"/>
      <c r="AA63" s="163"/>
      <c r="AB63" s="164"/>
      <c r="AC63" s="169"/>
      <c r="AD63" s="37"/>
    </row>
    <row r="64" spans="1:30" ht="15" customHeight="1" x14ac:dyDescent="0.2">
      <c r="A64" s="27"/>
      <c r="B64" s="37"/>
      <c r="C64" s="172">
        <f>C56+1</f>
        <v>3</v>
      </c>
      <c r="D64" s="173"/>
      <c r="E64" s="178">
        <f>E45+(C64-1)*7</f>
        <v>42668</v>
      </c>
      <c r="F64" s="179"/>
      <c r="G64" s="179"/>
      <c r="H64" s="179"/>
      <c r="I64" s="179"/>
      <c r="J64" s="179"/>
      <c r="K64" s="179"/>
      <c r="L64" s="179"/>
      <c r="M64" s="179"/>
      <c r="N64" s="179"/>
      <c r="O64" s="179"/>
      <c r="P64" s="178">
        <f>P45+(C64-1)*7</f>
        <v>42671</v>
      </c>
      <c r="Q64" s="179"/>
      <c r="R64" s="179"/>
      <c r="S64" s="179"/>
      <c r="T64" s="179"/>
      <c r="U64" s="179"/>
      <c r="V64" s="180"/>
      <c r="W64" s="179">
        <f>W45+(C64-1)*7</f>
        <v>42673</v>
      </c>
      <c r="X64" s="179"/>
      <c r="Y64" s="179"/>
      <c r="Z64" s="179"/>
      <c r="AA64" s="179"/>
      <c r="AB64" s="179"/>
      <c r="AC64" s="181"/>
      <c r="AD64" s="37"/>
    </row>
    <row r="65" spans="1:30" ht="15" customHeight="1" x14ac:dyDescent="0.2">
      <c r="A65" s="27"/>
      <c r="B65" s="37"/>
      <c r="C65" s="174"/>
      <c r="D65" s="175"/>
      <c r="E65" s="182" t="s">
        <v>99</v>
      </c>
      <c r="F65" s="183"/>
      <c r="G65" s="183"/>
      <c r="H65" s="184"/>
      <c r="I65" s="185" t="s">
        <v>101</v>
      </c>
      <c r="J65" s="183"/>
      <c r="K65" s="183"/>
      <c r="L65" s="184"/>
      <c r="M65" s="183" t="s">
        <v>100</v>
      </c>
      <c r="N65" s="183"/>
      <c r="O65" s="183"/>
      <c r="P65" s="182" t="s">
        <v>99</v>
      </c>
      <c r="Q65" s="183"/>
      <c r="R65" s="183"/>
      <c r="S65" s="183"/>
      <c r="T65" s="185" t="s">
        <v>100</v>
      </c>
      <c r="U65" s="183"/>
      <c r="V65" s="186"/>
      <c r="W65" s="183" t="s">
        <v>99</v>
      </c>
      <c r="X65" s="183"/>
      <c r="Y65" s="183"/>
      <c r="Z65" s="183"/>
      <c r="AA65" s="185" t="s">
        <v>100</v>
      </c>
      <c r="AB65" s="183"/>
      <c r="AC65" s="187"/>
      <c r="AD65" s="37"/>
    </row>
    <row r="66" spans="1:30" ht="15" customHeight="1" x14ac:dyDescent="0.2">
      <c r="A66" s="27"/>
      <c r="B66" s="37"/>
      <c r="C66" s="174"/>
      <c r="D66" s="175"/>
      <c r="E66" s="188" t="s">
        <v>110</v>
      </c>
      <c r="F66" s="189"/>
      <c r="G66" s="189"/>
      <c r="H66" s="190"/>
      <c r="I66" s="60" t="s">
        <v>113</v>
      </c>
      <c r="J66" s="60" t="s">
        <v>114</v>
      </c>
      <c r="K66" s="71" t="s">
        <v>115</v>
      </c>
      <c r="L66" s="144" t="s">
        <v>116</v>
      </c>
      <c r="M66" s="74" t="s">
        <v>96</v>
      </c>
      <c r="N66" s="191"/>
      <c r="O66" s="191"/>
      <c r="P66" s="188" t="s">
        <v>110</v>
      </c>
      <c r="Q66" s="189"/>
      <c r="R66" s="189"/>
      <c r="S66" s="189"/>
      <c r="T66" s="77" t="s">
        <v>96</v>
      </c>
      <c r="U66" s="191"/>
      <c r="V66" s="192"/>
      <c r="W66" s="189" t="s">
        <v>110</v>
      </c>
      <c r="X66" s="189"/>
      <c r="Y66" s="189"/>
      <c r="Z66" s="189"/>
      <c r="AA66" s="77" t="s">
        <v>96</v>
      </c>
      <c r="AB66" s="191"/>
      <c r="AC66" s="193"/>
      <c r="AD66" s="37"/>
    </row>
    <row r="67" spans="1:30" ht="15.75" customHeight="1" x14ac:dyDescent="0.2">
      <c r="A67" s="27"/>
      <c r="B67" s="37"/>
      <c r="C67" s="174"/>
      <c r="D67" s="175"/>
      <c r="E67" s="142" t="s">
        <v>53</v>
      </c>
      <c r="F67" s="143" t="s">
        <v>54</v>
      </c>
      <c r="G67" s="143" t="s">
        <v>90</v>
      </c>
      <c r="H67" s="144" t="s">
        <v>55</v>
      </c>
      <c r="I67" s="60" t="s">
        <v>102</v>
      </c>
      <c r="J67" s="60">
        <f>G68</f>
        <v>4.5076195987654322E-3</v>
      </c>
      <c r="K67" s="71"/>
      <c r="L67" s="52" t="str">
        <f>IF(K67="","",ABS(J67-K67))</f>
        <v/>
      </c>
      <c r="M67" s="146" t="s">
        <v>97</v>
      </c>
      <c r="N67" s="164"/>
      <c r="O67" s="164"/>
      <c r="P67" s="142" t="s">
        <v>54</v>
      </c>
      <c r="Q67" s="143" t="s">
        <v>65</v>
      </c>
      <c r="R67" s="141" t="s">
        <v>117</v>
      </c>
      <c r="S67" s="143" t="s">
        <v>116</v>
      </c>
      <c r="T67" s="145" t="s">
        <v>97</v>
      </c>
      <c r="U67" s="164"/>
      <c r="V67" s="168"/>
      <c r="W67" s="143" t="s">
        <v>54</v>
      </c>
      <c r="X67" s="143" t="s">
        <v>65</v>
      </c>
      <c r="Y67" s="141" t="s">
        <v>117</v>
      </c>
      <c r="Z67" s="143" t="s">
        <v>116</v>
      </c>
      <c r="AA67" s="145" t="s">
        <v>97</v>
      </c>
      <c r="AB67" s="164"/>
      <c r="AC67" s="169"/>
      <c r="AD67" s="37"/>
    </row>
    <row r="68" spans="1:30" ht="15" customHeight="1" x14ac:dyDescent="0.2">
      <c r="A68" s="27"/>
      <c r="B68" s="37"/>
      <c r="C68" s="174"/>
      <c r="D68" s="175"/>
      <c r="E68" s="142" t="s">
        <v>59</v>
      </c>
      <c r="F68" s="143">
        <v>1600</v>
      </c>
      <c r="G68" s="60">
        <f>M42</f>
        <v>4.5076195987654322E-3</v>
      </c>
      <c r="H68" s="144" t="s">
        <v>57</v>
      </c>
      <c r="I68" s="60" t="s">
        <v>103</v>
      </c>
      <c r="J68" s="60">
        <f>G68</f>
        <v>4.5076195987654322E-3</v>
      </c>
      <c r="K68" s="71"/>
      <c r="L68" s="52" t="str">
        <f t="shared" ref="L68:L71" si="6">IF(K68="","",ABS(J68-K68))</f>
        <v/>
      </c>
      <c r="M68" s="146" t="s">
        <v>98</v>
      </c>
      <c r="N68" s="164"/>
      <c r="O68" s="164"/>
      <c r="P68" s="142" t="s">
        <v>123</v>
      </c>
      <c r="Q68" s="60">
        <f>T42</f>
        <v>3.1481481481481482E-3</v>
      </c>
      <c r="R68" s="71"/>
      <c r="S68" s="52" t="str">
        <f>IF(R68="","",ABS(Q68-R68))</f>
        <v/>
      </c>
      <c r="T68" s="145" t="s">
        <v>98</v>
      </c>
      <c r="U68" s="164"/>
      <c r="V68" s="168"/>
      <c r="W68" s="143" t="s">
        <v>128</v>
      </c>
      <c r="X68" s="60">
        <f>T43</f>
        <v>3.2523148148148147E-3</v>
      </c>
      <c r="Y68" s="71"/>
      <c r="Z68" s="52" t="str">
        <f>IF(Y68="","",ABS(X68-Y68))</f>
        <v/>
      </c>
      <c r="AA68" s="145" t="s">
        <v>98</v>
      </c>
      <c r="AB68" s="164"/>
      <c r="AC68" s="169"/>
      <c r="AD68" s="37"/>
    </row>
    <row r="69" spans="1:30" ht="15.75" customHeight="1" x14ac:dyDescent="0.2">
      <c r="A69" s="27"/>
      <c r="B69" s="37"/>
      <c r="C69" s="174"/>
      <c r="D69" s="175"/>
      <c r="E69" s="142" t="s">
        <v>60</v>
      </c>
      <c r="F69" s="143">
        <v>800</v>
      </c>
      <c r="G69" s="60">
        <f>G43</f>
        <v>2.1566358024691359E-3</v>
      </c>
      <c r="H69" s="144" t="s">
        <v>57</v>
      </c>
      <c r="I69" s="60" t="s">
        <v>104</v>
      </c>
      <c r="J69" s="60">
        <f>G69</f>
        <v>2.1566358024691359E-3</v>
      </c>
      <c r="K69" s="71"/>
      <c r="L69" s="52" t="str">
        <f t="shared" si="6"/>
        <v/>
      </c>
      <c r="M69" s="170" t="s">
        <v>112</v>
      </c>
      <c r="N69" s="171"/>
      <c r="O69" s="90"/>
      <c r="P69" s="165" t="s">
        <v>111</v>
      </c>
      <c r="Q69" s="166"/>
      <c r="R69" s="166"/>
      <c r="S69" s="167"/>
      <c r="T69" s="170" t="s">
        <v>112</v>
      </c>
      <c r="U69" s="171"/>
      <c r="V69" s="83"/>
      <c r="W69" s="166" t="s">
        <v>111</v>
      </c>
      <c r="X69" s="166"/>
      <c r="Y69" s="166"/>
      <c r="Z69" s="167"/>
      <c r="AA69" s="170" t="s">
        <v>112</v>
      </c>
      <c r="AB69" s="171"/>
      <c r="AC69" s="80"/>
      <c r="AD69" s="37"/>
    </row>
    <row r="70" spans="1:30" ht="15" customHeight="1" x14ac:dyDescent="0.2">
      <c r="A70" s="27"/>
      <c r="B70" s="37"/>
      <c r="C70" s="174"/>
      <c r="D70" s="175"/>
      <c r="E70" s="165" t="s">
        <v>111</v>
      </c>
      <c r="F70" s="166"/>
      <c r="G70" s="166"/>
      <c r="H70" s="167"/>
      <c r="I70" s="60"/>
      <c r="J70" s="60"/>
      <c r="K70" s="71"/>
      <c r="L70" s="52" t="str">
        <f t="shared" si="6"/>
        <v/>
      </c>
      <c r="M70" s="163" t="s">
        <v>88</v>
      </c>
      <c r="N70" s="164"/>
      <c r="O70" s="164"/>
      <c r="P70" s="142"/>
      <c r="Q70" s="60"/>
      <c r="R70" s="60"/>
      <c r="S70" s="52"/>
      <c r="T70" s="163" t="s">
        <v>88</v>
      </c>
      <c r="U70" s="164"/>
      <c r="V70" s="168"/>
      <c r="W70" s="30"/>
      <c r="X70" s="30"/>
      <c r="Y70" s="30"/>
      <c r="Z70" s="30"/>
      <c r="AA70" s="163" t="s">
        <v>88</v>
      </c>
      <c r="AB70" s="164"/>
      <c r="AC70" s="169"/>
      <c r="AD70" s="37"/>
    </row>
    <row r="71" spans="1:30" ht="15" customHeight="1" thickBot="1" x14ac:dyDescent="0.25">
      <c r="A71" s="27"/>
      <c r="B71" s="37"/>
      <c r="C71" s="174"/>
      <c r="D71" s="175"/>
      <c r="E71" s="84"/>
      <c r="F71" s="60"/>
      <c r="G71" s="60"/>
      <c r="H71" s="144"/>
      <c r="I71" s="60"/>
      <c r="J71" s="60"/>
      <c r="K71" s="71"/>
      <c r="L71" s="52" t="str">
        <f t="shared" si="6"/>
        <v/>
      </c>
      <c r="M71" s="163"/>
      <c r="N71" s="164"/>
      <c r="O71" s="164"/>
      <c r="P71" s="298"/>
      <c r="Q71" s="195"/>
      <c r="R71" s="195"/>
      <c r="S71" s="299"/>
      <c r="T71" s="163"/>
      <c r="U71" s="164"/>
      <c r="V71" s="168"/>
      <c r="W71" s="30"/>
      <c r="X71" s="30"/>
      <c r="Y71" s="30"/>
      <c r="Z71" s="30"/>
      <c r="AA71" s="163"/>
      <c r="AB71" s="164"/>
      <c r="AC71" s="169"/>
      <c r="AD71" s="37"/>
    </row>
    <row r="72" spans="1:30" ht="15" customHeight="1" x14ac:dyDescent="0.2">
      <c r="A72" s="27"/>
      <c r="B72" s="37"/>
      <c r="C72" s="172">
        <f>C64+1</f>
        <v>4</v>
      </c>
      <c r="D72" s="173"/>
      <c r="E72" s="178">
        <f>E45+(C72-1)*7</f>
        <v>42675</v>
      </c>
      <c r="F72" s="179"/>
      <c r="G72" s="179"/>
      <c r="H72" s="179"/>
      <c r="I72" s="179"/>
      <c r="J72" s="179"/>
      <c r="K72" s="179"/>
      <c r="L72" s="179"/>
      <c r="M72" s="179"/>
      <c r="N72" s="179"/>
      <c r="O72" s="179"/>
      <c r="P72" s="178">
        <f>P45+(C72-1)*7</f>
        <v>42678</v>
      </c>
      <c r="Q72" s="179"/>
      <c r="R72" s="179"/>
      <c r="S72" s="179"/>
      <c r="T72" s="179"/>
      <c r="U72" s="179"/>
      <c r="V72" s="180"/>
      <c r="W72" s="179">
        <f>W45+(C72-1)*7</f>
        <v>42680</v>
      </c>
      <c r="X72" s="179"/>
      <c r="Y72" s="179"/>
      <c r="Z72" s="179"/>
      <c r="AA72" s="179"/>
      <c r="AB72" s="179"/>
      <c r="AC72" s="181"/>
      <c r="AD72" s="37"/>
    </row>
    <row r="73" spans="1:30" ht="15" customHeight="1" x14ac:dyDescent="0.2">
      <c r="A73" s="27"/>
      <c r="B73" s="37"/>
      <c r="C73" s="174"/>
      <c r="D73" s="175"/>
      <c r="E73" s="182" t="s">
        <v>99</v>
      </c>
      <c r="F73" s="183"/>
      <c r="G73" s="183"/>
      <c r="H73" s="184"/>
      <c r="I73" s="185" t="s">
        <v>101</v>
      </c>
      <c r="J73" s="183"/>
      <c r="K73" s="183"/>
      <c r="L73" s="184"/>
      <c r="M73" s="183" t="s">
        <v>100</v>
      </c>
      <c r="N73" s="183"/>
      <c r="O73" s="183"/>
      <c r="P73" s="182" t="s">
        <v>99</v>
      </c>
      <c r="Q73" s="183"/>
      <c r="R73" s="183"/>
      <c r="S73" s="183"/>
      <c r="T73" s="185" t="s">
        <v>100</v>
      </c>
      <c r="U73" s="183"/>
      <c r="V73" s="186"/>
      <c r="W73" s="183" t="s">
        <v>99</v>
      </c>
      <c r="X73" s="183"/>
      <c r="Y73" s="183"/>
      <c r="Z73" s="183"/>
      <c r="AA73" s="185" t="s">
        <v>100</v>
      </c>
      <c r="AB73" s="183"/>
      <c r="AC73" s="187"/>
      <c r="AD73" s="37"/>
    </row>
    <row r="74" spans="1:30" ht="15" customHeight="1" x14ac:dyDescent="0.2">
      <c r="A74" s="27"/>
      <c r="B74" s="37"/>
      <c r="C74" s="174"/>
      <c r="D74" s="175"/>
      <c r="E74" s="188" t="s">
        <v>110</v>
      </c>
      <c r="F74" s="189"/>
      <c r="G74" s="189"/>
      <c r="H74" s="190"/>
      <c r="I74" s="60" t="s">
        <v>113</v>
      </c>
      <c r="J74" s="60" t="s">
        <v>114</v>
      </c>
      <c r="K74" s="71" t="s">
        <v>115</v>
      </c>
      <c r="L74" s="144" t="s">
        <v>116</v>
      </c>
      <c r="M74" s="74" t="s">
        <v>96</v>
      </c>
      <c r="N74" s="191"/>
      <c r="O74" s="191"/>
      <c r="P74" s="188" t="s">
        <v>110</v>
      </c>
      <c r="Q74" s="189"/>
      <c r="R74" s="189"/>
      <c r="S74" s="189"/>
      <c r="T74" s="77" t="s">
        <v>96</v>
      </c>
      <c r="U74" s="191"/>
      <c r="V74" s="192"/>
      <c r="W74" s="189" t="s">
        <v>110</v>
      </c>
      <c r="X74" s="189"/>
      <c r="Y74" s="189"/>
      <c r="Z74" s="189"/>
      <c r="AA74" s="77" t="s">
        <v>96</v>
      </c>
      <c r="AB74" s="191"/>
      <c r="AC74" s="193"/>
      <c r="AD74" s="37"/>
    </row>
    <row r="75" spans="1:30" ht="15.75" customHeight="1" x14ac:dyDescent="0.2">
      <c r="A75" s="27"/>
      <c r="B75" s="37"/>
      <c r="C75" s="174"/>
      <c r="D75" s="175"/>
      <c r="E75" s="142" t="s">
        <v>53</v>
      </c>
      <c r="F75" s="143" t="s">
        <v>54</v>
      </c>
      <c r="G75" s="143" t="s">
        <v>90</v>
      </c>
      <c r="H75" s="144" t="s">
        <v>55</v>
      </c>
      <c r="I75" s="60" t="s">
        <v>102</v>
      </c>
      <c r="J75" s="60">
        <f>G76</f>
        <v>1.0551697530864197E-3</v>
      </c>
      <c r="K75" s="71"/>
      <c r="L75" s="52" t="str">
        <f>IF(K75="","",ABS(J75-K75))</f>
        <v/>
      </c>
      <c r="M75" s="146" t="s">
        <v>97</v>
      </c>
      <c r="N75" s="164"/>
      <c r="O75" s="164"/>
      <c r="P75" s="142" t="s">
        <v>54</v>
      </c>
      <c r="Q75" s="143" t="s">
        <v>65</v>
      </c>
      <c r="R75" s="141" t="s">
        <v>117</v>
      </c>
      <c r="S75" s="143" t="s">
        <v>116</v>
      </c>
      <c r="T75" s="145" t="s">
        <v>97</v>
      </c>
      <c r="U75" s="164"/>
      <c r="V75" s="168"/>
      <c r="W75" s="143" t="s">
        <v>54</v>
      </c>
      <c r="X75" s="143" t="s">
        <v>65</v>
      </c>
      <c r="Y75" s="141" t="s">
        <v>117</v>
      </c>
      <c r="Z75" s="143" t="s">
        <v>116</v>
      </c>
      <c r="AA75" s="145" t="s">
        <v>97</v>
      </c>
      <c r="AB75" s="164"/>
      <c r="AC75" s="169"/>
      <c r="AD75" s="37"/>
    </row>
    <row r="76" spans="1:30" ht="15" customHeight="1" x14ac:dyDescent="0.2">
      <c r="A76" s="27"/>
      <c r="B76" s="37"/>
      <c r="C76" s="174"/>
      <c r="D76" s="175"/>
      <c r="E76" s="142" t="s">
        <v>60</v>
      </c>
      <c r="F76" s="143">
        <v>400</v>
      </c>
      <c r="G76" s="60">
        <f>G41</f>
        <v>1.0551697530864197E-3</v>
      </c>
      <c r="H76" s="144" t="s">
        <v>57</v>
      </c>
      <c r="I76" s="60" t="s">
        <v>103</v>
      </c>
      <c r="J76" s="60">
        <f t="shared" ref="J76:J80" si="7">G77</f>
        <v>1.6116898148148149E-3</v>
      </c>
      <c r="K76" s="71"/>
      <c r="L76" s="52" t="str">
        <f t="shared" ref="L76:L82" si="8">IF(K76="","",ABS(J76-K76))</f>
        <v/>
      </c>
      <c r="M76" s="146" t="s">
        <v>98</v>
      </c>
      <c r="N76" s="164"/>
      <c r="O76" s="164"/>
      <c r="P76" s="142" t="s">
        <v>118</v>
      </c>
      <c r="Q76" s="60">
        <f>T41</f>
        <v>3.0324074074074073E-3</v>
      </c>
      <c r="R76" s="71"/>
      <c r="S76" s="52" t="str">
        <f>IF(R76="","",ABS(Q76-R76))</f>
        <v/>
      </c>
      <c r="T76" s="145" t="s">
        <v>98</v>
      </c>
      <c r="U76" s="164"/>
      <c r="V76" s="168"/>
      <c r="W76" s="143" t="s">
        <v>138</v>
      </c>
      <c r="X76" s="60">
        <f>T43</f>
        <v>3.2523148148148147E-3</v>
      </c>
      <c r="Y76" s="71"/>
      <c r="Z76" s="52" t="str">
        <f>IF(Y76="","",ABS(X76-Y76))</f>
        <v/>
      </c>
      <c r="AA76" s="145" t="s">
        <v>98</v>
      </c>
      <c r="AB76" s="164"/>
      <c r="AC76" s="169"/>
      <c r="AD76" s="37"/>
    </row>
    <row r="77" spans="1:30" ht="15.75" customHeight="1" x14ac:dyDescent="0.2">
      <c r="A77" s="27"/>
      <c r="B77" s="37"/>
      <c r="C77" s="174"/>
      <c r="D77" s="175"/>
      <c r="E77" s="142" t="s">
        <v>60</v>
      </c>
      <c r="F77" s="143">
        <v>600</v>
      </c>
      <c r="G77" s="60">
        <f>G42</f>
        <v>1.6116898148148149E-3</v>
      </c>
      <c r="H77" s="144" t="s">
        <v>57</v>
      </c>
      <c r="I77" s="60" t="s">
        <v>104</v>
      </c>
      <c r="J77" s="60">
        <f t="shared" si="7"/>
        <v>2.1566358024691359E-3</v>
      </c>
      <c r="K77" s="71"/>
      <c r="L77" s="52" t="str">
        <f t="shared" si="8"/>
        <v/>
      </c>
      <c r="M77" s="170" t="s">
        <v>112</v>
      </c>
      <c r="N77" s="171"/>
      <c r="O77" s="90"/>
      <c r="P77" s="142" t="s">
        <v>122</v>
      </c>
      <c r="Q77" s="60">
        <f>T44</f>
        <v>3.7268518518518519E-3</v>
      </c>
      <c r="R77" s="71"/>
      <c r="S77" s="52" t="str">
        <f t="shared" ref="S77:S80" si="9">IF(R77="","",ABS(Q77-R77))</f>
        <v/>
      </c>
      <c r="T77" s="170" t="s">
        <v>112</v>
      </c>
      <c r="U77" s="171"/>
      <c r="V77" s="83"/>
      <c r="W77" s="166" t="s">
        <v>111</v>
      </c>
      <c r="X77" s="166"/>
      <c r="Y77" s="166"/>
      <c r="Z77" s="167"/>
      <c r="AA77" s="170" t="s">
        <v>112</v>
      </c>
      <c r="AB77" s="171"/>
      <c r="AC77" s="80"/>
      <c r="AD77" s="37"/>
    </row>
    <row r="78" spans="1:30" ht="15" customHeight="1" x14ac:dyDescent="0.2">
      <c r="A78" s="27"/>
      <c r="B78" s="37"/>
      <c r="C78" s="174"/>
      <c r="D78" s="175"/>
      <c r="E78" s="142" t="s">
        <v>60</v>
      </c>
      <c r="F78" s="143">
        <v>800</v>
      </c>
      <c r="G78" s="60">
        <f>G43</f>
        <v>2.1566358024691359E-3</v>
      </c>
      <c r="H78" s="144" t="s">
        <v>57</v>
      </c>
      <c r="I78" s="60" t="s">
        <v>105</v>
      </c>
      <c r="J78" s="60">
        <f t="shared" si="7"/>
        <v>2.1566358024691359E-3</v>
      </c>
      <c r="K78" s="71"/>
      <c r="L78" s="52" t="str">
        <f t="shared" si="8"/>
        <v/>
      </c>
      <c r="M78" s="163" t="s">
        <v>88</v>
      </c>
      <c r="N78" s="164"/>
      <c r="O78" s="164"/>
      <c r="P78" s="142" t="s">
        <v>122</v>
      </c>
      <c r="Q78" s="60">
        <f>Q76</f>
        <v>3.0324074074074073E-3</v>
      </c>
      <c r="R78" s="71"/>
      <c r="S78" s="52" t="str">
        <f t="shared" si="9"/>
        <v/>
      </c>
      <c r="T78" s="163" t="s">
        <v>88</v>
      </c>
      <c r="U78" s="164"/>
      <c r="V78" s="168"/>
      <c r="W78" s="30"/>
      <c r="X78" s="30"/>
      <c r="Y78" s="30"/>
      <c r="Z78" s="30"/>
      <c r="AA78" s="163" t="s">
        <v>88</v>
      </c>
      <c r="AB78" s="164"/>
      <c r="AC78" s="169"/>
      <c r="AD78" s="37"/>
    </row>
    <row r="79" spans="1:30" ht="15.75" customHeight="1" x14ac:dyDescent="0.2">
      <c r="A79" s="27"/>
      <c r="B79" s="37"/>
      <c r="C79" s="174"/>
      <c r="D79" s="175"/>
      <c r="E79" s="142" t="s">
        <v>60</v>
      </c>
      <c r="F79" s="143">
        <v>800</v>
      </c>
      <c r="G79" s="60">
        <f>G78</f>
        <v>2.1566358024691359E-3</v>
      </c>
      <c r="H79" s="144" t="s">
        <v>57</v>
      </c>
      <c r="I79" s="60" t="s">
        <v>106</v>
      </c>
      <c r="J79" s="60">
        <f t="shared" si="7"/>
        <v>1.6116898148148149E-3</v>
      </c>
      <c r="K79" s="71"/>
      <c r="L79" s="52" t="str">
        <f t="shared" si="8"/>
        <v/>
      </c>
      <c r="M79" s="163"/>
      <c r="N79" s="164"/>
      <c r="O79" s="164"/>
      <c r="P79" s="142" t="s">
        <v>122</v>
      </c>
      <c r="Q79" s="60">
        <f>T44</f>
        <v>3.7268518518518519E-3</v>
      </c>
      <c r="R79" s="71"/>
      <c r="S79" s="52" t="str">
        <f t="shared" si="9"/>
        <v/>
      </c>
      <c r="T79" s="163"/>
      <c r="U79" s="164"/>
      <c r="V79" s="168"/>
      <c r="W79" s="30"/>
      <c r="X79" s="30"/>
      <c r="Y79" s="30"/>
      <c r="Z79" s="30"/>
      <c r="AA79" s="163"/>
      <c r="AB79" s="164"/>
      <c r="AC79" s="169"/>
      <c r="AD79" s="37"/>
    </row>
    <row r="80" spans="1:30" ht="15" customHeight="1" x14ac:dyDescent="0.2">
      <c r="A80" s="27"/>
      <c r="B80" s="37"/>
      <c r="C80" s="174"/>
      <c r="D80" s="175"/>
      <c r="E80" s="142" t="s">
        <v>60</v>
      </c>
      <c r="F80" s="143">
        <v>600</v>
      </c>
      <c r="G80" s="60">
        <f>G77</f>
        <v>1.6116898148148149E-3</v>
      </c>
      <c r="H80" s="144" t="s">
        <v>57</v>
      </c>
      <c r="I80" s="60" t="s">
        <v>107</v>
      </c>
      <c r="J80" s="60">
        <f t="shared" si="7"/>
        <v>1.0551697530864197E-3</v>
      </c>
      <c r="K80" s="71"/>
      <c r="L80" s="52" t="str">
        <f t="shared" si="8"/>
        <v/>
      </c>
      <c r="M80" s="143"/>
      <c r="N80" s="143"/>
      <c r="O80" s="30"/>
      <c r="P80" s="142" t="s">
        <v>118</v>
      </c>
      <c r="Q80" s="60">
        <f>Q78</f>
        <v>3.0324074074074073E-3</v>
      </c>
      <c r="R80" s="71"/>
      <c r="S80" s="52" t="str">
        <f t="shared" si="9"/>
        <v/>
      </c>
      <c r="T80" s="152"/>
      <c r="U80" s="143"/>
      <c r="V80" s="85"/>
      <c r="W80" s="30"/>
      <c r="X80" s="30"/>
      <c r="Y80" s="30"/>
      <c r="Z80" s="30"/>
      <c r="AA80" s="152"/>
      <c r="AB80" s="143"/>
      <c r="AC80" s="35"/>
      <c r="AD80" s="37"/>
    </row>
    <row r="81" spans="1:30" ht="15" customHeight="1" x14ac:dyDescent="0.2">
      <c r="A81" s="27"/>
      <c r="B81" s="37"/>
      <c r="C81" s="174"/>
      <c r="D81" s="175"/>
      <c r="E81" s="142" t="s">
        <v>60</v>
      </c>
      <c r="F81" s="143">
        <v>400</v>
      </c>
      <c r="G81" s="60">
        <f>G76</f>
        <v>1.0551697530864197E-3</v>
      </c>
      <c r="H81" s="144" t="s">
        <v>57</v>
      </c>
      <c r="I81" s="60"/>
      <c r="J81" s="60"/>
      <c r="K81" s="71"/>
      <c r="L81" s="52" t="str">
        <f t="shared" si="8"/>
        <v/>
      </c>
      <c r="M81" s="143"/>
      <c r="N81" s="143"/>
      <c r="O81" s="143"/>
      <c r="P81" s="165" t="s">
        <v>111</v>
      </c>
      <c r="Q81" s="166"/>
      <c r="R81" s="166"/>
      <c r="S81" s="167"/>
      <c r="T81" s="152"/>
      <c r="U81" s="143"/>
      <c r="V81" s="153"/>
      <c r="W81" s="30"/>
      <c r="X81" s="30"/>
      <c r="Y81" s="30"/>
      <c r="Z81" s="30"/>
      <c r="AA81" s="152"/>
      <c r="AB81" s="143"/>
      <c r="AC81" s="154"/>
      <c r="AD81" s="37"/>
    </row>
    <row r="82" spans="1:30" ht="15" customHeight="1" thickBot="1" x14ac:dyDescent="0.25">
      <c r="A82" s="27"/>
      <c r="B82" s="37"/>
      <c r="C82" s="198"/>
      <c r="D82" s="199"/>
      <c r="E82" s="165" t="s">
        <v>111</v>
      </c>
      <c r="F82" s="166"/>
      <c r="G82" s="166"/>
      <c r="H82" s="167"/>
      <c r="I82" s="149"/>
      <c r="J82" s="149"/>
      <c r="K82" s="71"/>
      <c r="L82" s="52" t="str">
        <f t="shared" si="8"/>
        <v/>
      </c>
      <c r="M82" s="194"/>
      <c r="N82" s="195"/>
      <c r="O82" s="195"/>
      <c r="P82" s="150"/>
      <c r="Q82" s="147"/>
      <c r="R82" s="147"/>
      <c r="S82" s="147"/>
      <c r="T82" s="194"/>
      <c r="U82" s="195"/>
      <c r="V82" s="196"/>
      <c r="W82" s="34"/>
      <c r="X82" s="34"/>
      <c r="Y82" s="34"/>
      <c r="Z82" s="34"/>
      <c r="AA82" s="194"/>
      <c r="AB82" s="195"/>
      <c r="AC82" s="197"/>
      <c r="AD82" s="37"/>
    </row>
    <row r="83" spans="1:30" ht="15.75" customHeight="1" x14ac:dyDescent="0.2">
      <c r="A83" s="27"/>
      <c r="B83" s="37"/>
      <c r="C83" s="172">
        <f>C72+1</f>
        <v>5</v>
      </c>
      <c r="D83" s="173"/>
      <c r="E83" s="178">
        <f>E45+(C83-1)*7</f>
        <v>42682</v>
      </c>
      <c r="F83" s="179"/>
      <c r="G83" s="179"/>
      <c r="H83" s="179"/>
      <c r="I83" s="179"/>
      <c r="J83" s="179"/>
      <c r="K83" s="179"/>
      <c r="L83" s="179"/>
      <c r="M83" s="179"/>
      <c r="N83" s="179"/>
      <c r="O83" s="179"/>
      <c r="P83" s="178">
        <f>P45+(C83-1)*7</f>
        <v>42685</v>
      </c>
      <c r="Q83" s="179"/>
      <c r="R83" s="179"/>
      <c r="S83" s="179"/>
      <c r="T83" s="179"/>
      <c r="U83" s="179"/>
      <c r="V83" s="180"/>
      <c r="W83" s="179">
        <f>W45+(C83-1)*7</f>
        <v>42687</v>
      </c>
      <c r="X83" s="179"/>
      <c r="Y83" s="179"/>
      <c r="Z83" s="179"/>
      <c r="AA83" s="179"/>
      <c r="AB83" s="179"/>
      <c r="AC83" s="181"/>
      <c r="AD83" s="37"/>
    </row>
    <row r="84" spans="1:30" ht="15" customHeight="1" x14ac:dyDescent="0.2">
      <c r="A84" s="27"/>
      <c r="B84" s="37"/>
      <c r="C84" s="174"/>
      <c r="D84" s="175"/>
      <c r="E84" s="182" t="s">
        <v>99</v>
      </c>
      <c r="F84" s="183"/>
      <c r="G84" s="183"/>
      <c r="H84" s="184"/>
      <c r="I84" s="185" t="s">
        <v>101</v>
      </c>
      <c r="J84" s="183"/>
      <c r="K84" s="183"/>
      <c r="L84" s="184"/>
      <c r="M84" s="183" t="s">
        <v>100</v>
      </c>
      <c r="N84" s="183"/>
      <c r="O84" s="183"/>
      <c r="P84" s="182" t="s">
        <v>99</v>
      </c>
      <c r="Q84" s="183"/>
      <c r="R84" s="183"/>
      <c r="S84" s="183"/>
      <c r="T84" s="185" t="s">
        <v>100</v>
      </c>
      <c r="U84" s="183"/>
      <c r="V84" s="186"/>
      <c r="W84" s="183" t="s">
        <v>99</v>
      </c>
      <c r="X84" s="183"/>
      <c r="Y84" s="183"/>
      <c r="Z84" s="183"/>
      <c r="AA84" s="185" t="s">
        <v>100</v>
      </c>
      <c r="AB84" s="183"/>
      <c r="AC84" s="187"/>
      <c r="AD84" s="37"/>
    </row>
    <row r="85" spans="1:30" ht="15.75" customHeight="1" x14ac:dyDescent="0.2">
      <c r="A85" s="27"/>
      <c r="B85" s="37"/>
      <c r="C85" s="174"/>
      <c r="D85" s="175"/>
      <c r="E85" s="188" t="s">
        <v>110</v>
      </c>
      <c r="F85" s="189"/>
      <c r="G85" s="189"/>
      <c r="H85" s="190"/>
      <c r="I85" s="60" t="s">
        <v>113</v>
      </c>
      <c r="J85" s="60" t="s">
        <v>114</v>
      </c>
      <c r="K85" s="71" t="s">
        <v>115</v>
      </c>
      <c r="L85" s="144" t="s">
        <v>116</v>
      </c>
      <c r="M85" s="74" t="s">
        <v>96</v>
      </c>
      <c r="N85" s="191"/>
      <c r="O85" s="191"/>
      <c r="P85" s="188" t="s">
        <v>110</v>
      </c>
      <c r="Q85" s="189"/>
      <c r="R85" s="189"/>
      <c r="S85" s="189"/>
      <c r="T85" s="77" t="s">
        <v>96</v>
      </c>
      <c r="U85" s="191"/>
      <c r="V85" s="192"/>
      <c r="W85" s="189" t="s">
        <v>110</v>
      </c>
      <c r="X85" s="189"/>
      <c r="Y85" s="189"/>
      <c r="Z85" s="189"/>
      <c r="AA85" s="77" t="s">
        <v>96</v>
      </c>
      <c r="AB85" s="191"/>
      <c r="AC85" s="193"/>
      <c r="AD85" s="37"/>
    </row>
    <row r="86" spans="1:30" ht="15" customHeight="1" x14ac:dyDescent="0.2">
      <c r="A86" s="27"/>
      <c r="B86" s="37"/>
      <c r="C86" s="174"/>
      <c r="D86" s="175"/>
      <c r="E86" s="142" t="s">
        <v>53</v>
      </c>
      <c r="F86" s="143" t="s">
        <v>54</v>
      </c>
      <c r="G86" s="143" t="s">
        <v>90</v>
      </c>
      <c r="H86" s="144" t="s">
        <v>55</v>
      </c>
      <c r="I86" s="60" t="s">
        <v>102</v>
      </c>
      <c r="J86" s="60">
        <f>G87</f>
        <v>2.7247299382716049E-3</v>
      </c>
      <c r="K86" s="71"/>
      <c r="L86" s="52" t="str">
        <f>IF(K86="","",ABS(J86-K86))</f>
        <v/>
      </c>
      <c r="M86" s="146" t="s">
        <v>97</v>
      </c>
      <c r="N86" s="164"/>
      <c r="O86" s="164"/>
      <c r="P86" s="142" t="s">
        <v>54</v>
      </c>
      <c r="Q86" s="143" t="s">
        <v>65</v>
      </c>
      <c r="R86" s="141" t="s">
        <v>117</v>
      </c>
      <c r="S86" s="143" t="s">
        <v>116</v>
      </c>
      <c r="T86" s="145" t="s">
        <v>97</v>
      </c>
      <c r="U86" s="164"/>
      <c r="V86" s="168"/>
      <c r="W86" s="143" t="s">
        <v>54</v>
      </c>
      <c r="X86" s="143" t="s">
        <v>65</v>
      </c>
      <c r="Y86" s="141" t="s">
        <v>117</v>
      </c>
      <c r="Z86" s="143" t="s">
        <v>116</v>
      </c>
      <c r="AA86" s="145" t="s">
        <v>97</v>
      </c>
      <c r="AB86" s="164"/>
      <c r="AC86" s="169"/>
      <c r="AD86" s="37"/>
    </row>
    <row r="87" spans="1:30" ht="15.75" customHeight="1" x14ac:dyDescent="0.2">
      <c r="A87" s="27"/>
      <c r="B87" s="37"/>
      <c r="C87" s="174"/>
      <c r="D87" s="175"/>
      <c r="E87" s="142" t="s">
        <v>61</v>
      </c>
      <c r="F87" s="143">
        <v>1000</v>
      </c>
      <c r="G87" s="60">
        <f>G44</f>
        <v>2.7247299382716049E-3</v>
      </c>
      <c r="H87" s="144" t="s">
        <v>57</v>
      </c>
      <c r="I87" s="60" t="s">
        <v>103</v>
      </c>
      <c r="J87" s="60">
        <f>G87</f>
        <v>2.7247299382716049E-3</v>
      </c>
      <c r="K87" s="71"/>
      <c r="L87" s="52" t="str">
        <f t="shared" ref="L87:L90" si="10">IF(K87="","",ABS(J87-K87))</f>
        <v/>
      </c>
      <c r="M87" s="146" t="s">
        <v>98</v>
      </c>
      <c r="N87" s="164"/>
      <c r="O87" s="164"/>
      <c r="P87" s="142" t="s">
        <v>123</v>
      </c>
      <c r="Q87" s="60">
        <f>T41</f>
        <v>3.0324074074074073E-3</v>
      </c>
      <c r="R87" s="71"/>
      <c r="S87" s="52" t="str">
        <f>IF(R87="","",ABS(Q87-R87))</f>
        <v/>
      </c>
      <c r="T87" s="145" t="s">
        <v>98</v>
      </c>
      <c r="U87" s="164"/>
      <c r="V87" s="168"/>
      <c r="W87" s="143" t="s">
        <v>139</v>
      </c>
      <c r="X87" s="60">
        <f>T43</f>
        <v>3.2523148148148147E-3</v>
      </c>
      <c r="Y87" s="71"/>
      <c r="Z87" s="52" t="str">
        <f>IF(Y87="","",ABS(X87-Y87))</f>
        <v/>
      </c>
      <c r="AA87" s="145" t="s">
        <v>98</v>
      </c>
      <c r="AB87" s="164"/>
      <c r="AC87" s="169"/>
      <c r="AD87" s="37"/>
    </row>
    <row r="88" spans="1:30" ht="15" customHeight="1" x14ac:dyDescent="0.2">
      <c r="A88" s="27"/>
      <c r="B88" s="37"/>
      <c r="C88" s="174"/>
      <c r="D88" s="175"/>
      <c r="E88" s="165" t="s">
        <v>111</v>
      </c>
      <c r="F88" s="166"/>
      <c r="G88" s="166"/>
      <c r="H88" s="167"/>
      <c r="I88" s="60" t="s">
        <v>104</v>
      </c>
      <c r="J88" s="60">
        <f>G87</f>
        <v>2.7247299382716049E-3</v>
      </c>
      <c r="K88" s="71"/>
      <c r="L88" s="52" t="str">
        <f t="shared" si="10"/>
        <v/>
      </c>
      <c r="M88" s="170" t="s">
        <v>112</v>
      </c>
      <c r="N88" s="171"/>
      <c r="O88" s="90"/>
      <c r="P88" s="165" t="s">
        <v>111</v>
      </c>
      <c r="Q88" s="166"/>
      <c r="R88" s="166"/>
      <c r="S88" s="167"/>
      <c r="T88" s="170" t="s">
        <v>112</v>
      </c>
      <c r="U88" s="171"/>
      <c r="V88" s="83"/>
      <c r="W88" s="166" t="s">
        <v>111</v>
      </c>
      <c r="X88" s="166"/>
      <c r="Y88" s="166"/>
      <c r="Z88" s="167"/>
      <c r="AA88" s="170" t="s">
        <v>112</v>
      </c>
      <c r="AB88" s="171"/>
      <c r="AC88" s="80"/>
      <c r="AD88" s="37"/>
    </row>
    <row r="89" spans="1:30" ht="15" customHeight="1" x14ac:dyDescent="0.2">
      <c r="A89" s="27"/>
      <c r="B89" s="37"/>
      <c r="C89" s="174"/>
      <c r="D89" s="175"/>
      <c r="E89" s="165"/>
      <c r="F89" s="166"/>
      <c r="G89" s="166"/>
      <c r="H89" s="167"/>
      <c r="I89" s="60" t="s">
        <v>105</v>
      </c>
      <c r="J89" s="60">
        <f>G87</f>
        <v>2.7247299382716049E-3</v>
      </c>
      <c r="K89" s="71"/>
      <c r="L89" s="52" t="str">
        <f t="shared" si="10"/>
        <v/>
      </c>
      <c r="M89" s="163" t="s">
        <v>88</v>
      </c>
      <c r="N89" s="164"/>
      <c r="O89" s="164"/>
      <c r="P89" s="142"/>
      <c r="Q89" s="60"/>
      <c r="R89" s="143"/>
      <c r="S89" s="52"/>
      <c r="T89" s="163" t="s">
        <v>88</v>
      </c>
      <c r="U89" s="164"/>
      <c r="V89" s="168"/>
      <c r="W89" s="30"/>
      <c r="X89" s="30"/>
      <c r="Y89" s="30"/>
      <c r="Z89" s="30"/>
      <c r="AA89" s="163" t="s">
        <v>88</v>
      </c>
      <c r="AB89" s="164"/>
      <c r="AC89" s="169"/>
      <c r="AD89" s="37"/>
    </row>
    <row r="90" spans="1:30" ht="15" customHeight="1" thickBot="1" x14ac:dyDescent="0.25">
      <c r="A90" s="27"/>
      <c r="B90" s="37"/>
      <c r="C90" s="174"/>
      <c r="D90" s="175"/>
      <c r="E90" s="84"/>
      <c r="F90" s="60"/>
      <c r="G90" s="60"/>
      <c r="H90" s="144"/>
      <c r="I90" s="60"/>
      <c r="J90" s="60"/>
      <c r="K90" s="71"/>
      <c r="L90" s="52" t="str">
        <f t="shared" si="10"/>
        <v/>
      </c>
      <c r="M90" s="163"/>
      <c r="N90" s="164"/>
      <c r="O90" s="164"/>
      <c r="P90" s="165"/>
      <c r="Q90" s="166"/>
      <c r="R90" s="166"/>
      <c r="S90" s="167"/>
      <c r="T90" s="163"/>
      <c r="U90" s="164"/>
      <c r="V90" s="168"/>
      <c r="W90" s="30"/>
      <c r="X90" s="30"/>
      <c r="Y90" s="30"/>
      <c r="Z90" s="30"/>
      <c r="AA90" s="163"/>
      <c r="AB90" s="164"/>
      <c r="AC90" s="169"/>
      <c r="AD90" s="37"/>
    </row>
    <row r="91" spans="1:30" ht="15.75" customHeight="1" x14ac:dyDescent="0.2">
      <c r="A91" s="27"/>
      <c r="B91" s="37"/>
      <c r="C91" s="172">
        <f>C83+1</f>
        <v>6</v>
      </c>
      <c r="D91" s="173"/>
      <c r="E91" s="178">
        <f>E45+(C91-1)*7</f>
        <v>42689</v>
      </c>
      <c r="F91" s="179"/>
      <c r="G91" s="179"/>
      <c r="H91" s="179"/>
      <c r="I91" s="179"/>
      <c r="J91" s="179"/>
      <c r="K91" s="179"/>
      <c r="L91" s="179"/>
      <c r="M91" s="179"/>
      <c r="N91" s="179"/>
      <c r="O91" s="179"/>
      <c r="P91" s="178">
        <f>P45+(C91-1)*7</f>
        <v>42692</v>
      </c>
      <c r="Q91" s="179"/>
      <c r="R91" s="179"/>
      <c r="S91" s="179"/>
      <c r="T91" s="179"/>
      <c r="U91" s="179"/>
      <c r="V91" s="180"/>
      <c r="W91" s="179">
        <f>W45+(C91-1)*7</f>
        <v>42694</v>
      </c>
      <c r="X91" s="179"/>
      <c r="Y91" s="179"/>
      <c r="Z91" s="179"/>
      <c r="AA91" s="179"/>
      <c r="AB91" s="179"/>
      <c r="AC91" s="181"/>
      <c r="AD91" s="37"/>
    </row>
    <row r="92" spans="1:30" ht="15" customHeight="1" x14ac:dyDescent="0.2">
      <c r="A92" s="27"/>
      <c r="B92" s="37"/>
      <c r="C92" s="174"/>
      <c r="D92" s="175"/>
      <c r="E92" s="182" t="s">
        <v>99</v>
      </c>
      <c r="F92" s="183"/>
      <c r="G92" s="183"/>
      <c r="H92" s="184"/>
      <c r="I92" s="185" t="s">
        <v>101</v>
      </c>
      <c r="J92" s="183"/>
      <c r="K92" s="183"/>
      <c r="L92" s="184"/>
      <c r="M92" s="183" t="s">
        <v>100</v>
      </c>
      <c r="N92" s="183"/>
      <c r="O92" s="183"/>
      <c r="P92" s="182" t="s">
        <v>99</v>
      </c>
      <c r="Q92" s="183"/>
      <c r="R92" s="183"/>
      <c r="S92" s="183"/>
      <c r="T92" s="185" t="s">
        <v>100</v>
      </c>
      <c r="U92" s="183"/>
      <c r="V92" s="186"/>
      <c r="W92" s="183" t="s">
        <v>99</v>
      </c>
      <c r="X92" s="183"/>
      <c r="Y92" s="183"/>
      <c r="Z92" s="183"/>
      <c r="AA92" s="185" t="s">
        <v>100</v>
      </c>
      <c r="AB92" s="183"/>
      <c r="AC92" s="187"/>
      <c r="AD92" s="37"/>
    </row>
    <row r="93" spans="1:30" ht="15" customHeight="1" x14ac:dyDescent="0.2">
      <c r="A93" s="27"/>
      <c r="B93" s="37"/>
      <c r="C93" s="174"/>
      <c r="D93" s="175"/>
      <c r="E93" s="188" t="s">
        <v>110</v>
      </c>
      <c r="F93" s="189"/>
      <c r="G93" s="189"/>
      <c r="H93" s="190"/>
      <c r="I93" s="60" t="s">
        <v>113</v>
      </c>
      <c r="J93" s="60" t="s">
        <v>114</v>
      </c>
      <c r="K93" s="71" t="s">
        <v>115</v>
      </c>
      <c r="L93" s="144" t="s">
        <v>116</v>
      </c>
      <c r="M93" s="74" t="s">
        <v>96</v>
      </c>
      <c r="N93" s="191"/>
      <c r="O93" s="191"/>
      <c r="P93" s="188" t="s">
        <v>110</v>
      </c>
      <c r="Q93" s="189"/>
      <c r="R93" s="189"/>
      <c r="S93" s="189"/>
      <c r="T93" s="77" t="s">
        <v>96</v>
      </c>
      <c r="U93" s="191"/>
      <c r="V93" s="192"/>
      <c r="W93" s="189" t="s">
        <v>110</v>
      </c>
      <c r="X93" s="189"/>
      <c r="Y93" s="189"/>
      <c r="Z93" s="189"/>
      <c r="AA93" s="77" t="s">
        <v>96</v>
      </c>
      <c r="AB93" s="191"/>
      <c r="AC93" s="193"/>
      <c r="AD93" s="37"/>
    </row>
    <row r="94" spans="1:30" ht="15" customHeight="1" x14ac:dyDescent="0.2">
      <c r="A94" s="27"/>
      <c r="B94" s="37"/>
      <c r="C94" s="174"/>
      <c r="D94" s="175"/>
      <c r="E94" s="142" t="s">
        <v>53</v>
      </c>
      <c r="F94" s="143" t="s">
        <v>54</v>
      </c>
      <c r="G94" s="143" t="s">
        <v>90</v>
      </c>
      <c r="H94" s="144" t="s">
        <v>55</v>
      </c>
      <c r="I94" s="60" t="s">
        <v>102</v>
      </c>
      <c r="J94" s="60">
        <f>G95</f>
        <v>4.5076195987654322E-3</v>
      </c>
      <c r="K94" s="71"/>
      <c r="L94" s="52" t="str">
        <f>IF(K94="","",ABS(J94-K94))</f>
        <v/>
      </c>
      <c r="M94" s="146" t="s">
        <v>97</v>
      </c>
      <c r="N94" s="164"/>
      <c r="O94" s="164"/>
      <c r="P94" s="142" t="s">
        <v>54</v>
      </c>
      <c r="Q94" s="143" t="s">
        <v>65</v>
      </c>
      <c r="R94" s="141" t="s">
        <v>117</v>
      </c>
      <c r="S94" s="143" t="s">
        <v>116</v>
      </c>
      <c r="T94" s="145" t="s">
        <v>97</v>
      </c>
      <c r="U94" s="164"/>
      <c r="V94" s="168"/>
      <c r="W94" s="143" t="s">
        <v>54</v>
      </c>
      <c r="X94" s="143" t="s">
        <v>65</v>
      </c>
      <c r="Y94" s="141" t="s">
        <v>117</v>
      </c>
      <c r="Z94" s="143" t="s">
        <v>116</v>
      </c>
      <c r="AA94" s="145" t="s">
        <v>97</v>
      </c>
      <c r="AB94" s="164"/>
      <c r="AC94" s="169"/>
      <c r="AD94" s="37"/>
    </row>
    <row r="95" spans="1:30" ht="15.75" customHeight="1" x14ac:dyDescent="0.2">
      <c r="A95" s="27"/>
      <c r="B95" s="37"/>
      <c r="C95" s="174"/>
      <c r="D95" s="175"/>
      <c r="E95" s="142" t="s">
        <v>60</v>
      </c>
      <c r="F95" s="143">
        <v>1600</v>
      </c>
      <c r="G95" s="60">
        <f>M42</f>
        <v>4.5076195987654322E-3</v>
      </c>
      <c r="H95" s="144" t="s">
        <v>57</v>
      </c>
      <c r="I95" s="60" t="s">
        <v>103</v>
      </c>
      <c r="J95" s="60">
        <f t="shared" ref="J95:J97" si="11">G96</f>
        <v>3.3135609567901229E-3</v>
      </c>
      <c r="K95" s="71"/>
      <c r="L95" s="52" t="str">
        <f t="shared" ref="L95:L99" si="12">IF(K95="","",ABS(J95-K95))</f>
        <v/>
      </c>
      <c r="M95" s="146" t="s">
        <v>98</v>
      </c>
      <c r="N95" s="164"/>
      <c r="O95" s="164"/>
      <c r="P95" s="142" t="s">
        <v>119</v>
      </c>
      <c r="Q95" s="60">
        <f>T42</f>
        <v>3.1481481481481482E-3</v>
      </c>
      <c r="R95" s="71"/>
      <c r="S95" s="52" t="str">
        <f>IF(R95="","",ABS(Q95-R95))</f>
        <v/>
      </c>
      <c r="T95" s="145" t="s">
        <v>98</v>
      </c>
      <c r="U95" s="164"/>
      <c r="V95" s="168"/>
      <c r="W95" s="143" t="s">
        <v>128</v>
      </c>
      <c r="X95" s="60">
        <f>T43</f>
        <v>3.2523148148148147E-3</v>
      </c>
      <c r="Y95" s="71"/>
      <c r="Z95" s="52" t="str">
        <f>IF(Y95="","",ABS(X95-Y95))</f>
        <v/>
      </c>
      <c r="AA95" s="145" t="s">
        <v>98</v>
      </c>
      <c r="AB95" s="164"/>
      <c r="AC95" s="169"/>
      <c r="AD95" s="37"/>
    </row>
    <row r="96" spans="1:30" ht="15" customHeight="1" x14ac:dyDescent="0.2">
      <c r="A96" s="27"/>
      <c r="B96" s="37"/>
      <c r="C96" s="174"/>
      <c r="D96" s="175"/>
      <c r="E96" s="142" t="s">
        <v>60</v>
      </c>
      <c r="F96" s="143">
        <v>1200</v>
      </c>
      <c r="G96" s="60">
        <f>M41</f>
        <v>3.3135609567901229E-3</v>
      </c>
      <c r="H96" s="144" t="s">
        <v>57</v>
      </c>
      <c r="I96" s="60" t="s">
        <v>104</v>
      </c>
      <c r="J96" s="60">
        <f t="shared" si="11"/>
        <v>2.1566358024691359E-3</v>
      </c>
      <c r="K96" s="71"/>
      <c r="L96" s="52" t="str">
        <f t="shared" si="12"/>
        <v/>
      </c>
      <c r="M96" s="170" t="s">
        <v>112</v>
      </c>
      <c r="N96" s="171"/>
      <c r="O96" s="90"/>
      <c r="P96" s="165" t="s">
        <v>111</v>
      </c>
      <c r="Q96" s="166"/>
      <c r="R96" s="166"/>
      <c r="S96" s="167"/>
      <c r="T96" s="170" t="s">
        <v>112</v>
      </c>
      <c r="U96" s="171"/>
      <c r="V96" s="83"/>
      <c r="W96" s="166" t="s">
        <v>111</v>
      </c>
      <c r="X96" s="166"/>
      <c r="Y96" s="166"/>
      <c r="Z96" s="167"/>
      <c r="AA96" s="170" t="s">
        <v>112</v>
      </c>
      <c r="AB96" s="171"/>
      <c r="AC96" s="80"/>
      <c r="AD96" s="37"/>
    </row>
    <row r="97" spans="1:30" ht="15.75" customHeight="1" x14ac:dyDescent="0.2">
      <c r="A97" s="27"/>
      <c r="B97" s="37"/>
      <c r="C97" s="174"/>
      <c r="D97" s="175"/>
      <c r="E97" s="142" t="s">
        <v>60</v>
      </c>
      <c r="F97" s="143">
        <v>800</v>
      </c>
      <c r="G97" s="60">
        <f>G43</f>
        <v>2.1566358024691359E-3</v>
      </c>
      <c r="H97" s="144" t="s">
        <v>57</v>
      </c>
      <c r="I97" s="60" t="s">
        <v>105</v>
      </c>
      <c r="J97" s="60">
        <f t="shared" si="11"/>
        <v>1.0551697530864197E-3</v>
      </c>
      <c r="K97" s="71"/>
      <c r="L97" s="52" t="str">
        <f t="shared" si="12"/>
        <v/>
      </c>
      <c r="M97" s="163" t="s">
        <v>88</v>
      </c>
      <c r="N97" s="164"/>
      <c r="O97" s="164"/>
      <c r="P97" s="142"/>
      <c r="Q97" s="60"/>
      <c r="R97" s="60"/>
      <c r="S97" s="52"/>
      <c r="T97" s="163" t="s">
        <v>88</v>
      </c>
      <c r="U97" s="164"/>
      <c r="V97" s="168"/>
      <c r="W97" s="30"/>
      <c r="X97" s="30"/>
      <c r="Y97" s="30"/>
      <c r="Z97" s="30"/>
      <c r="AA97" s="163" t="s">
        <v>88</v>
      </c>
      <c r="AB97" s="164"/>
      <c r="AC97" s="169"/>
      <c r="AD97" s="37"/>
    </row>
    <row r="98" spans="1:30" ht="15" customHeight="1" x14ac:dyDescent="0.2">
      <c r="A98" s="27"/>
      <c r="B98" s="37"/>
      <c r="C98" s="174"/>
      <c r="D98" s="175"/>
      <c r="E98" s="142" t="s">
        <v>60</v>
      </c>
      <c r="F98" s="143">
        <v>400</v>
      </c>
      <c r="G98" s="60">
        <f>G41</f>
        <v>1.0551697530864197E-3</v>
      </c>
      <c r="H98" s="144" t="s">
        <v>57</v>
      </c>
      <c r="I98" s="60"/>
      <c r="J98" s="60"/>
      <c r="K98" s="71"/>
      <c r="L98" s="52" t="str">
        <f t="shared" si="12"/>
        <v/>
      </c>
      <c r="M98" s="163"/>
      <c r="N98" s="164"/>
      <c r="O98" s="164"/>
      <c r="P98" s="142"/>
      <c r="Q98" s="60"/>
      <c r="R98" s="60"/>
      <c r="S98" s="52"/>
      <c r="T98" s="163"/>
      <c r="U98" s="164"/>
      <c r="V98" s="168"/>
      <c r="W98" s="30"/>
      <c r="X98" s="30"/>
      <c r="Y98" s="30"/>
      <c r="Z98" s="30"/>
      <c r="AA98" s="163"/>
      <c r="AB98" s="164"/>
      <c r="AC98" s="169"/>
      <c r="AD98" s="37"/>
    </row>
    <row r="99" spans="1:30" ht="15" customHeight="1" thickBot="1" x14ac:dyDescent="0.25">
      <c r="A99" s="27"/>
      <c r="B99" s="37"/>
      <c r="C99" s="174"/>
      <c r="D99" s="175"/>
      <c r="E99" s="165" t="s">
        <v>111</v>
      </c>
      <c r="F99" s="166"/>
      <c r="G99" s="166"/>
      <c r="H99" s="167"/>
      <c r="I99" s="60"/>
      <c r="J99" s="60"/>
      <c r="K99" s="71"/>
      <c r="L99" s="52" t="str">
        <f t="shared" si="12"/>
        <v/>
      </c>
      <c r="M99" s="143"/>
      <c r="N99" s="143"/>
      <c r="O99" s="30"/>
      <c r="P99" s="142"/>
      <c r="Q99" s="60"/>
      <c r="R99" s="60"/>
      <c r="S99" s="52"/>
      <c r="T99" s="152"/>
      <c r="U99" s="143"/>
      <c r="V99" s="85"/>
      <c r="W99" s="30"/>
      <c r="X99" s="30"/>
      <c r="Y99" s="30"/>
      <c r="Z99" s="30"/>
      <c r="AA99" s="152"/>
      <c r="AB99" s="143"/>
      <c r="AC99" s="35"/>
      <c r="AD99" s="37"/>
    </row>
    <row r="100" spans="1:30" ht="15" customHeight="1" x14ac:dyDescent="0.2">
      <c r="A100" s="27"/>
      <c r="B100" s="37"/>
      <c r="C100" s="172">
        <f>C91+1</f>
        <v>7</v>
      </c>
      <c r="D100" s="173"/>
      <c r="E100" s="178">
        <f>E45+(C100-1)*7</f>
        <v>42696</v>
      </c>
      <c r="F100" s="179"/>
      <c r="G100" s="179"/>
      <c r="H100" s="179"/>
      <c r="I100" s="179"/>
      <c r="J100" s="179"/>
      <c r="K100" s="179"/>
      <c r="L100" s="179"/>
      <c r="M100" s="179"/>
      <c r="N100" s="179"/>
      <c r="O100" s="179"/>
      <c r="P100" s="178">
        <f>P45+(C100-1)*7</f>
        <v>42699</v>
      </c>
      <c r="Q100" s="179"/>
      <c r="R100" s="179"/>
      <c r="S100" s="179"/>
      <c r="T100" s="179"/>
      <c r="U100" s="179"/>
      <c r="V100" s="180"/>
      <c r="W100" s="179">
        <f>W45+(C100-1)*7</f>
        <v>42701</v>
      </c>
      <c r="X100" s="179"/>
      <c r="Y100" s="179"/>
      <c r="Z100" s="179"/>
      <c r="AA100" s="179"/>
      <c r="AB100" s="179"/>
      <c r="AC100" s="181"/>
      <c r="AD100" s="37"/>
    </row>
    <row r="101" spans="1:30" ht="15.75" customHeight="1" x14ac:dyDescent="0.2">
      <c r="A101" s="27"/>
      <c r="B101" s="37"/>
      <c r="C101" s="174"/>
      <c r="D101" s="175"/>
      <c r="E101" s="182" t="s">
        <v>99</v>
      </c>
      <c r="F101" s="183"/>
      <c r="G101" s="183"/>
      <c r="H101" s="184"/>
      <c r="I101" s="185" t="s">
        <v>101</v>
      </c>
      <c r="J101" s="183"/>
      <c r="K101" s="183"/>
      <c r="L101" s="184"/>
      <c r="M101" s="183" t="s">
        <v>100</v>
      </c>
      <c r="N101" s="183"/>
      <c r="O101" s="183"/>
      <c r="P101" s="182" t="s">
        <v>99</v>
      </c>
      <c r="Q101" s="183"/>
      <c r="R101" s="183"/>
      <c r="S101" s="183"/>
      <c r="T101" s="185" t="s">
        <v>100</v>
      </c>
      <c r="U101" s="183"/>
      <c r="V101" s="186"/>
      <c r="W101" s="183" t="s">
        <v>99</v>
      </c>
      <c r="X101" s="183"/>
      <c r="Y101" s="183"/>
      <c r="Z101" s="183"/>
      <c r="AA101" s="185" t="s">
        <v>100</v>
      </c>
      <c r="AB101" s="183"/>
      <c r="AC101" s="187"/>
      <c r="AD101" s="37"/>
    </row>
    <row r="102" spans="1:30" ht="15" customHeight="1" x14ac:dyDescent="0.2">
      <c r="A102" s="27"/>
      <c r="B102" s="37"/>
      <c r="C102" s="174"/>
      <c r="D102" s="175"/>
      <c r="E102" s="188" t="s">
        <v>110</v>
      </c>
      <c r="F102" s="189"/>
      <c r="G102" s="189"/>
      <c r="H102" s="190"/>
      <c r="I102" s="60" t="s">
        <v>113</v>
      </c>
      <c r="J102" s="60" t="s">
        <v>114</v>
      </c>
      <c r="K102" s="71" t="s">
        <v>115</v>
      </c>
      <c r="L102" s="144" t="s">
        <v>116</v>
      </c>
      <c r="M102" s="74" t="s">
        <v>96</v>
      </c>
      <c r="N102" s="191"/>
      <c r="O102" s="191"/>
      <c r="P102" s="188" t="s">
        <v>110</v>
      </c>
      <c r="Q102" s="189"/>
      <c r="R102" s="189"/>
      <c r="S102" s="189"/>
      <c r="T102" s="77" t="s">
        <v>96</v>
      </c>
      <c r="U102" s="191"/>
      <c r="V102" s="192"/>
      <c r="W102" s="189" t="s">
        <v>110</v>
      </c>
      <c r="X102" s="189"/>
      <c r="Y102" s="189"/>
      <c r="Z102" s="189"/>
      <c r="AA102" s="77" t="s">
        <v>96</v>
      </c>
      <c r="AB102" s="191"/>
      <c r="AC102" s="193"/>
      <c r="AD102" s="37"/>
    </row>
    <row r="103" spans="1:30" ht="15" customHeight="1" x14ac:dyDescent="0.2">
      <c r="A103" s="27"/>
      <c r="B103" s="37"/>
      <c r="C103" s="174"/>
      <c r="D103" s="175"/>
      <c r="E103" s="142" t="s">
        <v>53</v>
      </c>
      <c r="F103" s="143" t="s">
        <v>54</v>
      </c>
      <c r="G103" s="143" t="s">
        <v>90</v>
      </c>
      <c r="H103" s="144" t="s">
        <v>55</v>
      </c>
      <c r="I103" s="60" t="s">
        <v>102</v>
      </c>
      <c r="J103" s="60">
        <f>G104</f>
        <v>1.0551697530864197E-3</v>
      </c>
      <c r="K103" s="71"/>
      <c r="L103" s="52" t="str">
        <f>IF(K103="","",ABS(J103-K103))</f>
        <v/>
      </c>
      <c r="M103" s="146" t="s">
        <v>97</v>
      </c>
      <c r="N103" s="164"/>
      <c r="O103" s="164"/>
      <c r="P103" s="142" t="s">
        <v>54</v>
      </c>
      <c r="Q103" s="143" t="s">
        <v>65</v>
      </c>
      <c r="R103" s="141" t="s">
        <v>117</v>
      </c>
      <c r="S103" s="143" t="s">
        <v>116</v>
      </c>
      <c r="T103" s="145" t="s">
        <v>97</v>
      </c>
      <c r="U103" s="164"/>
      <c r="V103" s="168"/>
      <c r="W103" s="143" t="s">
        <v>54</v>
      </c>
      <c r="X103" s="143" t="s">
        <v>65</v>
      </c>
      <c r="Y103" s="141" t="s">
        <v>117</v>
      </c>
      <c r="Z103" s="143" t="s">
        <v>116</v>
      </c>
      <c r="AA103" s="145" t="s">
        <v>97</v>
      </c>
      <c r="AB103" s="164"/>
      <c r="AC103" s="169"/>
      <c r="AD103" s="37"/>
    </row>
    <row r="104" spans="1:30" ht="15" customHeight="1" x14ac:dyDescent="0.2">
      <c r="A104" s="27"/>
      <c r="B104" s="37"/>
      <c r="C104" s="174"/>
      <c r="D104" s="175"/>
      <c r="E104" s="142" t="s">
        <v>62</v>
      </c>
      <c r="F104" s="143">
        <v>400</v>
      </c>
      <c r="G104" s="60">
        <f>G41</f>
        <v>1.0551697530864197E-3</v>
      </c>
      <c r="H104" s="144" t="s">
        <v>127</v>
      </c>
      <c r="I104" s="60" t="s">
        <v>103</v>
      </c>
      <c r="J104" s="60">
        <f>J103</f>
        <v>1.0551697530864197E-3</v>
      </c>
      <c r="K104" s="71"/>
      <c r="L104" s="52" t="str">
        <f t="shared" ref="L104:L112" si="13">IF(K104="","",ABS(J104-K104))</f>
        <v/>
      </c>
      <c r="M104" s="146" t="s">
        <v>98</v>
      </c>
      <c r="N104" s="164"/>
      <c r="O104" s="164"/>
      <c r="P104" s="142" t="s">
        <v>123</v>
      </c>
      <c r="Q104" s="60">
        <f>T41</f>
        <v>3.0324074074074073E-3</v>
      </c>
      <c r="R104" s="71"/>
      <c r="S104" s="52" t="str">
        <f>IF(R104="","",ABS(Q104-R104))</f>
        <v/>
      </c>
      <c r="T104" s="145" t="s">
        <v>98</v>
      </c>
      <c r="U104" s="164"/>
      <c r="V104" s="168"/>
      <c r="W104" s="143" t="s">
        <v>139</v>
      </c>
      <c r="X104" s="60">
        <f>T43</f>
        <v>3.2523148148148147E-3</v>
      </c>
      <c r="Y104" s="71"/>
      <c r="Z104" s="52" t="str">
        <f>IF(Y104="","",ABS(X104-Y104))</f>
        <v/>
      </c>
      <c r="AA104" s="145" t="s">
        <v>98</v>
      </c>
      <c r="AB104" s="164"/>
      <c r="AC104" s="169"/>
      <c r="AD104" s="37"/>
    </row>
    <row r="105" spans="1:30" ht="15.75" customHeight="1" x14ac:dyDescent="0.2">
      <c r="A105" s="27"/>
      <c r="B105" s="37"/>
      <c r="C105" s="174"/>
      <c r="D105" s="175"/>
      <c r="E105" s="165" t="s">
        <v>111</v>
      </c>
      <c r="F105" s="166"/>
      <c r="G105" s="166"/>
      <c r="H105" s="167"/>
      <c r="I105" s="60" t="s">
        <v>104</v>
      </c>
      <c r="J105" s="60">
        <f t="shared" ref="J105:J112" si="14">J104</f>
        <v>1.0551697530864197E-3</v>
      </c>
      <c r="K105" s="71"/>
      <c r="L105" s="52" t="str">
        <f t="shared" si="13"/>
        <v/>
      </c>
      <c r="M105" s="170" t="s">
        <v>112</v>
      </c>
      <c r="N105" s="171"/>
      <c r="O105" s="90"/>
      <c r="P105" s="165" t="s">
        <v>111</v>
      </c>
      <c r="Q105" s="166"/>
      <c r="R105" s="166"/>
      <c r="S105" s="167"/>
      <c r="T105" s="170" t="s">
        <v>112</v>
      </c>
      <c r="U105" s="171"/>
      <c r="V105" s="83"/>
      <c r="W105" s="166" t="s">
        <v>111</v>
      </c>
      <c r="X105" s="166"/>
      <c r="Y105" s="166"/>
      <c r="Z105" s="167"/>
      <c r="AA105" s="170" t="s">
        <v>112</v>
      </c>
      <c r="AB105" s="171"/>
      <c r="AC105" s="80"/>
      <c r="AD105" s="37"/>
    </row>
    <row r="106" spans="1:30" ht="15" customHeight="1" x14ac:dyDescent="0.2">
      <c r="A106" s="27"/>
      <c r="B106" s="37"/>
      <c r="C106" s="174"/>
      <c r="D106" s="175"/>
      <c r="E106" s="84"/>
      <c r="F106" s="60"/>
      <c r="G106" s="60"/>
      <c r="H106" s="144"/>
      <c r="I106" s="60" t="s">
        <v>105</v>
      </c>
      <c r="J106" s="60">
        <f t="shared" si="14"/>
        <v>1.0551697530864197E-3</v>
      </c>
      <c r="K106" s="71"/>
      <c r="L106" s="52" t="str">
        <f t="shared" si="13"/>
        <v/>
      </c>
      <c r="M106" s="163" t="s">
        <v>88</v>
      </c>
      <c r="N106" s="164"/>
      <c r="O106" s="164"/>
      <c r="P106" s="142"/>
      <c r="Q106" s="143"/>
      <c r="R106" s="143"/>
      <c r="S106" s="143"/>
      <c r="T106" s="163" t="s">
        <v>88</v>
      </c>
      <c r="U106" s="164"/>
      <c r="V106" s="168"/>
      <c r="W106" s="30"/>
      <c r="X106" s="30"/>
      <c r="Y106" s="30"/>
      <c r="Z106" s="30"/>
      <c r="AA106" s="163" t="s">
        <v>88</v>
      </c>
      <c r="AB106" s="164"/>
      <c r="AC106" s="169"/>
      <c r="AD106" s="37"/>
    </row>
    <row r="107" spans="1:30" ht="15.75" customHeight="1" x14ac:dyDescent="0.2">
      <c r="A107" s="27"/>
      <c r="B107" s="37"/>
      <c r="C107" s="174"/>
      <c r="D107" s="175"/>
      <c r="E107" s="84"/>
      <c r="F107" s="60"/>
      <c r="G107" s="60"/>
      <c r="H107" s="144"/>
      <c r="I107" s="60" t="s">
        <v>106</v>
      </c>
      <c r="J107" s="60">
        <f t="shared" si="14"/>
        <v>1.0551697530864197E-3</v>
      </c>
      <c r="K107" s="71"/>
      <c r="L107" s="52" t="str">
        <f t="shared" si="13"/>
        <v/>
      </c>
      <c r="M107" s="163"/>
      <c r="N107" s="164"/>
      <c r="O107" s="164"/>
      <c r="P107" s="142"/>
      <c r="Q107" s="143"/>
      <c r="R107" s="143"/>
      <c r="S107" s="143"/>
      <c r="T107" s="163"/>
      <c r="U107" s="164"/>
      <c r="V107" s="168"/>
      <c r="W107" s="30"/>
      <c r="X107" s="30"/>
      <c r="Y107" s="30"/>
      <c r="Z107" s="30"/>
      <c r="AA107" s="163"/>
      <c r="AB107" s="164"/>
      <c r="AC107" s="169"/>
      <c r="AD107" s="37"/>
    </row>
    <row r="108" spans="1:30" ht="15" customHeight="1" x14ac:dyDescent="0.2">
      <c r="A108" s="27"/>
      <c r="B108" s="37"/>
      <c r="C108" s="174"/>
      <c r="D108" s="175"/>
      <c r="E108" s="84"/>
      <c r="F108" s="60"/>
      <c r="G108" s="60"/>
      <c r="H108" s="144"/>
      <c r="I108" s="60" t="s">
        <v>107</v>
      </c>
      <c r="J108" s="60">
        <f t="shared" si="14"/>
        <v>1.0551697530864197E-3</v>
      </c>
      <c r="K108" s="71"/>
      <c r="L108" s="52" t="str">
        <f t="shared" si="13"/>
        <v/>
      </c>
      <c r="M108" s="143"/>
      <c r="N108" s="143"/>
      <c r="O108" s="30"/>
      <c r="P108" s="142"/>
      <c r="Q108" s="143"/>
      <c r="R108" s="143"/>
      <c r="S108" s="143"/>
      <c r="T108" s="152"/>
      <c r="U108" s="143"/>
      <c r="V108" s="85"/>
      <c r="W108" s="30"/>
      <c r="X108" s="30"/>
      <c r="Y108" s="30"/>
      <c r="Z108" s="30"/>
      <c r="AA108" s="152"/>
      <c r="AB108" s="143"/>
      <c r="AC108" s="35"/>
      <c r="AD108" s="37"/>
    </row>
    <row r="109" spans="1:30" ht="15" customHeight="1" x14ac:dyDescent="0.2">
      <c r="A109" s="27"/>
      <c r="B109" s="37"/>
      <c r="C109" s="174"/>
      <c r="D109" s="175"/>
      <c r="E109" s="84"/>
      <c r="F109" s="60"/>
      <c r="G109" s="60"/>
      <c r="H109" s="144"/>
      <c r="I109" s="60" t="s">
        <v>108</v>
      </c>
      <c r="J109" s="60">
        <f t="shared" si="14"/>
        <v>1.0551697530864197E-3</v>
      </c>
      <c r="K109" s="71"/>
      <c r="L109" s="52" t="str">
        <f t="shared" si="13"/>
        <v/>
      </c>
      <c r="M109" s="143"/>
      <c r="N109" s="143"/>
      <c r="O109" s="143"/>
      <c r="P109" s="142"/>
      <c r="Q109" s="143"/>
      <c r="R109" s="143"/>
      <c r="S109" s="143"/>
      <c r="T109" s="152"/>
      <c r="U109" s="143"/>
      <c r="V109" s="153"/>
      <c r="W109" s="30"/>
      <c r="X109" s="30"/>
      <c r="Y109" s="30"/>
      <c r="Z109" s="30"/>
      <c r="AA109" s="152"/>
      <c r="AB109" s="143"/>
      <c r="AC109" s="154"/>
      <c r="AD109" s="37"/>
    </row>
    <row r="110" spans="1:30" ht="15" customHeight="1" x14ac:dyDescent="0.2">
      <c r="A110" s="27"/>
      <c r="B110" s="37"/>
      <c r="C110" s="174"/>
      <c r="D110" s="175"/>
      <c r="E110" s="84"/>
      <c r="F110" s="60"/>
      <c r="G110" s="60"/>
      <c r="H110" s="144"/>
      <c r="I110" s="60" t="s">
        <v>109</v>
      </c>
      <c r="J110" s="60">
        <f t="shared" si="14"/>
        <v>1.0551697530864197E-3</v>
      </c>
      <c r="K110" s="71"/>
      <c r="L110" s="52" t="str">
        <f t="shared" si="13"/>
        <v/>
      </c>
      <c r="M110" s="143"/>
      <c r="N110" s="143"/>
      <c r="O110" s="30"/>
      <c r="P110" s="142"/>
      <c r="Q110" s="143"/>
      <c r="R110" s="143"/>
      <c r="S110" s="143"/>
      <c r="T110" s="152"/>
      <c r="U110" s="143"/>
      <c r="V110" s="85"/>
      <c r="W110" s="30"/>
      <c r="X110" s="30"/>
      <c r="Y110" s="30"/>
      <c r="Z110" s="30"/>
      <c r="AA110" s="152"/>
      <c r="AB110" s="143"/>
      <c r="AC110" s="35"/>
      <c r="AD110" s="37"/>
    </row>
    <row r="111" spans="1:30" ht="15" customHeight="1" x14ac:dyDescent="0.2">
      <c r="A111" s="27"/>
      <c r="B111" s="37"/>
      <c r="C111" s="174"/>
      <c r="D111" s="175"/>
      <c r="E111" s="84"/>
      <c r="F111" s="60"/>
      <c r="G111" s="60"/>
      <c r="H111" s="144"/>
      <c r="I111" s="60" t="s">
        <v>125</v>
      </c>
      <c r="J111" s="60">
        <f t="shared" si="14"/>
        <v>1.0551697530864197E-3</v>
      </c>
      <c r="K111" s="71"/>
      <c r="L111" s="52" t="str">
        <f t="shared" si="13"/>
        <v/>
      </c>
      <c r="M111" s="143"/>
      <c r="N111" s="143"/>
      <c r="O111" s="143"/>
      <c r="P111" s="142"/>
      <c r="Q111" s="143"/>
      <c r="R111" s="143"/>
      <c r="S111" s="143"/>
      <c r="T111" s="152"/>
      <c r="U111" s="143"/>
      <c r="V111" s="153"/>
      <c r="W111" s="30"/>
      <c r="X111" s="30"/>
      <c r="Y111" s="30"/>
      <c r="Z111" s="30"/>
      <c r="AA111" s="152"/>
      <c r="AB111" s="143"/>
      <c r="AC111" s="154"/>
      <c r="AD111" s="37"/>
    </row>
    <row r="112" spans="1:30" ht="15" customHeight="1" thickBot="1" x14ac:dyDescent="0.25">
      <c r="A112" s="27"/>
      <c r="B112" s="37"/>
      <c r="C112" s="198"/>
      <c r="D112" s="199"/>
      <c r="E112" s="87"/>
      <c r="F112" s="149"/>
      <c r="G112" s="149"/>
      <c r="H112" s="151"/>
      <c r="I112" s="149" t="s">
        <v>126</v>
      </c>
      <c r="J112" s="60">
        <f t="shared" si="14"/>
        <v>1.0551697530864197E-3</v>
      </c>
      <c r="K112" s="71"/>
      <c r="L112" s="52" t="str">
        <f t="shared" si="13"/>
        <v/>
      </c>
      <c r="M112" s="194"/>
      <c r="N112" s="195"/>
      <c r="O112" s="195"/>
      <c r="P112" s="150"/>
      <c r="Q112" s="147"/>
      <c r="R112" s="147"/>
      <c r="S112" s="147"/>
      <c r="T112" s="194"/>
      <c r="U112" s="195"/>
      <c r="V112" s="196"/>
      <c r="W112" s="34"/>
      <c r="X112" s="34"/>
      <c r="Y112" s="34"/>
      <c r="Z112" s="34"/>
      <c r="AA112" s="194"/>
      <c r="AB112" s="195"/>
      <c r="AC112" s="197"/>
      <c r="AD112" s="37"/>
    </row>
    <row r="113" spans="1:30" ht="15.75" customHeight="1" x14ac:dyDescent="0.2">
      <c r="A113" s="27"/>
      <c r="B113" s="37"/>
      <c r="C113" s="172">
        <f>C100+1</f>
        <v>8</v>
      </c>
      <c r="D113" s="173"/>
      <c r="E113" s="178">
        <f>E45+(C113-1)*7</f>
        <v>42703</v>
      </c>
      <c r="F113" s="179"/>
      <c r="G113" s="179"/>
      <c r="H113" s="179"/>
      <c r="I113" s="179"/>
      <c r="J113" s="179"/>
      <c r="K113" s="179"/>
      <c r="L113" s="179"/>
      <c r="M113" s="179"/>
      <c r="N113" s="179"/>
      <c r="O113" s="179"/>
      <c r="P113" s="178">
        <f>P45+(C113-1)*7</f>
        <v>42706</v>
      </c>
      <c r="Q113" s="179"/>
      <c r="R113" s="179"/>
      <c r="S113" s="179"/>
      <c r="T113" s="179"/>
      <c r="U113" s="179"/>
      <c r="V113" s="180"/>
      <c r="W113" s="179">
        <f>W45+(C113-1)*7</f>
        <v>42708</v>
      </c>
      <c r="X113" s="179"/>
      <c r="Y113" s="179"/>
      <c r="Z113" s="179"/>
      <c r="AA113" s="179"/>
      <c r="AB113" s="179"/>
      <c r="AC113" s="181"/>
      <c r="AD113" s="37"/>
    </row>
    <row r="114" spans="1:30" ht="15.75" customHeight="1" x14ac:dyDescent="0.2">
      <c r="A114" s="27"/>
      <c r="B114" s="37"/>
      <c r="C114" s="174"/>
      <c r="D114" s="175"/>
      <c r="E114" s="182" t="s">
        <v>99</v>
      </c>
      <c r="F114" s="183"/>
      <c r="G114" s="183"/>
      <c r="H114" s="184"/>
      <c r="I114" s="185" t="s">
        <v>101</v>
      </c>
      <c r="J114" s="183"/>
      <c r="K114" s="183"/>
      <c r="L114" s="184"/>
      <c r="M114" s="183" t="s">
        <v>100</v>
      </c>
      <c r="N114" s="183"/>
      <c r="O114" s="183"/>
      <c r="P114" s="182" t="s">
        <v>99</v>
      </c>
      <c r="Q114" s="183"/>
      <c r="R114" s="183"/>
      <c r="S114" s="183"/>
      <c r="T114" s="185" t="s">
        <v>100</v>
      </c>
      <c r="U114" s="183"/>
      <c r="V114" s="186"/>
      <c r="W114" s="183" t="s">
        <v>99</v>
      </c>
      <c r="X114" s="183"/>
      <c r="Y114" s="183"/>
      <c r="Z114" s="183"/>
      <c r="AA114" s="185" t="s">
        <v>100</v>
      </c>
      <c r="AB114" s="183"/>
      <c r="AC114" s="187"/>
      <c r="AD114" s="37"/>
    </row>
    <row r="115" spans="1:30" ht="15" customHeight="1" x14ac:dyDescent="0.2">
      <c r="A115" s="27"/>
      <c r="B115" s="37"/>
      <c r="C115" s="174"/>
      <c r="D115" s="175"/>
      <c r="E115" s="188" t="s">
        <v>110</v>
      </c>
      <c r="F115" s="189"/>
      <c r="G115" s="189"/>
      <c r="H115" s="190"/>
      <c r="I115" s="60" t="s">
        <v>113</v>
      </c>
      <c r="J115" s="60" t="s">
        <v>114</v>
      </c>
      <c r="K115" s="71" t="s">
        <v>115</v>
      </c>
      <c r="L115" s="144" t="s">
        <v>116</v>
      </c>
      <c r="M115" s="74" t="s">
        <v>96</v>
      </c>
      <c r="N115" s="191"/>
      <c r="O115" s="191"/>
      <c r="P115" s="188" t="s">
        <v>110</v>
      </c>
      <c r="Q115" s="189"/>
      <c r="R115" s="189"/>
      <c r="S115" s="189"/>
      <c r="T115" s="77" t="s">
        <v>96</v>
      </c>
      <c r="U115" s="191"/>
      <c r="V115" s="192"/>
      <c r="W115" s="189" t="s">
        <v>110</v>
      </c>
      <c r="X115" s="189"/>
      <c r="Y115" s="189"/>
      <c r="Z115" s="189"/>
      <c r="AA115" s="77" t="s">
        <v>96</v>
      </c>
      <c r="AB115" s="191"/>
      <c r="AC115" s="193"/>
      <c r="AD115" s="37"/>
    </row>
    <row r="116" spans="1:30" ht="15" customHeight="1" x14ac:dyDescent="0.2">
      <c r="A116" s="27"/>
      <c r="B116" s="37"/>
      <c r="C116" s="174"/>
      <c r="D116" s="175"/>
      <c r="E116" s="142" t="s">
        <v>53</v>
      </c>
      <c r="F116" s="143" t="s">
        <v>54</v>
      </c>
      <c r="G116" s="143" t="s">
        <v>90</v>
      </c>
      <c r="H116" s="144" t="s">
        <v>55</v>
      </c>
      <c r="I116" s="60" t="s">
        <v>102</v>
      </c>
      <c r="J116" s="60">
        <f>G117</f>
        <v>2.1566358024691359E-3</v>
      </c>
      <c r="K116" s="71"/>
      <c r="L116" s="52" t="str">
        <f>IF(K116="","",ABS(J116-K116))</f>
        <v/>
      </c>
      <c r="M116" s="146" t="s">
        <v>97</v>
      </c>
      <c r="N116" s="164"/>
      <c r="O116" s="164"/>
      <c r="P116" s="142" t="s">
        <v>54</v>
      </c>
      <c r="Q116" s="143" t="s">
        <v>65</v>
      </c>
      <c r="R116" s="141" t="s">
        <v>117</v>
      </c>
      <c r="S116" s="143" t="s">
        <v>116</v>
      </c>
      <c r="T116" s="145" t="s">
        <v>97</v>
      </c>
      <c r="U116" s="164"/>
      <c r="V116" s="168"/>
      <c r="W116" s="143" t="s">
        <v>54</v>
      </c>
      <c r="X116" s="143" t="s">
        <v>65</v>
      </c>
      <c r="Y116" s="141" t="s">
        <v>117</v>
      </c>
      <c r="Z116" s="143" t="s">
        <v>116</v>
      </c>
      <c r="AA116" s="145" t="s">
        <v>97</v>
      </c>
      <c r="AB116" s="164"/>
      <c r="AC116" s="169"/>
      <c r="AD116" s="37"/>
    </row>
    <row r="117" spans="1:30" ht="15" customHeight="1" x14ac:dyDescent="0.2">
      <c r="A117" s="27"/>
      <c r="B117" s="37"/>
      <c r="C117" s="174"/>
      <c r="D117" s="175"/>
      <c r="E117" s="142" t="s">
        <v>63</v>
      </c>
      <c r="F117" s="143">
        <v>800</v>
      </c>
      <c r="G117" s="60">
        <f>G43</f>
        <v>2.1566358024691359E-3</v>
      </c>
      <c r="H117" s="144" t="s">
        <v>127</v>
      </c>
      <c r="I117" s="60" t="s">
        <v>103</v>
      </c>
      <c r="J117" s="60">
        <f>J116</f>
        <v>2.1566358024691359E-3</v>
      </c>
      <c r="K117" s="71"/>
      <c r="L117" s="52" t="str">
        <f t="shared" ref="L117:L120" si="15">IF(K117="","",ABS(J117-K117))</f>
        <v/>
      </c>
      <c r="M117" s="146" t="s">
        <v>98</v>
      </c>
      <c r="N117" s="164"/>
      <c r="O117" s="164"/>
      <c r="P117" s="142" t="s">
        <v>122</v>
      </c>
      <c r="Q117" s="60">
        <f>T41</f>
        <v>3.0324074074074073E-3</v>
      </c>
      <c r="R117" s="71"/>
      <c r="S117" s="52" t="str">
        <f>IF(R117="","",ABS(Q117-R117))</f>
        <v/>
      </c>
      <c r="T117" s="145" t="s">
        <v>98</v>
      </c>
      <c r="U117" s="164"/>
      <c r="V117" s="168"/>
      <c r="W117" s="143" t="s">
        <v>128</v>
      </c>
      <c r="X117" s="60">
        <f>T43</f>
        <v>3.2523148148148147E-3</v>
      </c>
      <c r="Y117" s="71"/>
      <c r="Z117" s="52" t="str">
        <f>IF(Y117="","",ABS(X117-Y117))</f>
        <v/>
      </c>
      <c r="AA117" s="145" t="s">
        <v>98</v>
      </c>
      <c r="AB117" s="164"/>
      <c r="AC117" s="169"/>
      <c r="AD117" s="37"/>
    </row>
    <row r="118" spans="1:30" ht="15" customHeight="1" x14ac:dyDescent="0.2">
      <c r="A118" s="27"/>
      <c r="B118" s="37"/>
      <c r="C118" s="174"/>
      <c r="D118" s="175"/>
      <c r="E118" s="165" t="s">
        <v>111</v>
      </c>
      <c r="F118" s="166"/>
      <c r="G118" s="166"/>
      <c r="H118" s="167"/>
      <c r="I118" s="60" t="s">
        <v>104</v>
      </c>
      <c r="J118" s="60">
        <f t="shared" ref="J118:J120" si="16">J117</f>
        <v>2.1566358024691359E-3</v>
      </c>
      <c r="K118" s="71"/>
      <c r="L118" s="52" t="str">
        <f t="shared" si="15"/>
        <v/>
      </c>
      <c r="M118" s="170" t="s">
        <v>112</v>
      </c>
      <c r="N118" s="171"/>
      <c r="O118" s="90"/>
      <c r="P118" s="142" t="s">
        <v>122</v>
      </c>
      <c r="Q118" s="60">
        <f>T44</f>
        <v>3.7268518518518519E-3</v>
      </c>
      <c r="R118" s="71"/>
      <c r="S118" s="52" t="str">
        <f t="shared" ref="S118:S121" si="17">IF(R118="","",ABS(Q118-R118))</f>
        <v/>
      </c>
      <c r="T118" s="170" t="s">
        <v>112</v>
      </c>
      <c r="U118" s="171"/>
      <c r="V118" s="83"/>
      <c r="W118" s="166" t="s">
        <v>111</v>
      </c>
      <c r="X118" s="166"/>
      <c r="Y118" s="166"/>
      <c r="Z118" s="167"/>
      <c r="AA118" s="170" t="s">
        <v>112</v>
      </c>
      <c r="AB118" s="171"/>
      <c r="AC118" s="80"/>
      <c r="AD118" s="37"/>
    </row>
    <row r="119" spans="1:30" ht="15" customHeight="1" x14ac:dyDescent="0.2">
      <c r="A119" s="27"/>
      <c r="B119" s="37"/>
      <c r="C119" s="174"/>
      <c r="D119" s="175"/>
      <c r="E119" s="142"/>
      <c r="F119" s="143"/>
      <c r="G119" s="60"/>
      <c r="H119" s="144"/>
      <c r="I119" s="60" t="s">
        <v>105</v>
      </c>
      <c r="J119" s="60">
        <f t="shared" si="16"/>
        <v>2.1566358024691359E-3</v>
      </c>
      <c r="K119" s="71"/>
      <c r="L119" s="52" t="str">
        <f t="shared" si="15"/>
        <v/>
      </c>
      <c r="M119" s="163" t="s">
        <v>88</v>
      </c>
      <c r="N119" s="164"/>
      <c r="O119" s="164"/>
      <c r="P119" s="142" t="s">
        <v>118</v>
      </c>
      <c r="Q119" s="60">
        <f>T41</f>
        <v>3.0324074074074073E-3</v>
      </c>
      <c r="R119" s="71"/>
      <c r="S119" s="52" t="str">
        <f t="shared" si="17"/>
        <v/>
      </c>
      <c r="T119" s="163" t="s">
        <v>88</v>
      </c>
      <c r="U119" s="164"/>
      <c r="V119" s="168"/>
      <c r="W119" s="30"/>
      <c r="X119" s="30"/>
      <c r="Y119" s="30"/>
      <c r="Z119" s="30"/>
      <c r="AA119" s="163" t="s">
        <v>88</v>
      </c>
      <c r="AB119" s="164"/>
      <c r="AC119" s="169"/>
      <c r="AD119" s="37"/>
    </row>
    <row r="120" spans="1:30" ht="15" customHeight="1" x14ac:dyDescent="0.2">
      <c r="A120" s="27"/>
      <c r="B120" s="37"/>
      <c r="C120" s="174"/>
      <c r="D120" s="175"/>
      <c r="E120" s="142"/>
      <c r="F120" s="143"/>
      <c r="G120" s="60"/>
      <c r="H120" s="144"/>
      <c r="I120" s="60" t="s">
        <v>106</v>
      </c>
      <c r="J120" s="60">
        <f t="shared" si="16"/>
        <v>2.1566358024691359E-3</v>
      </c>
      <c r="K120" s="71"/>
      <c r="L120" s="52" t="str">
        <f t="shared" si="15"/>
        <v/>
      </c>
      <c r="M120" s="163"/>
      <c r="N120" s="164"/>
      <c r="O120" s="164"/>
      <c r="P120" s="142" t="s">
        <v>122</v>
      </c>
      <c r="Q120" s="60">
        <f>T44</f>
        <v>3.7268518518518519E-3</v>
      </c>
      <c r="R120" s="71"/>
      <c r="S120" s="52" t="str">
        <f t="shared" si="17"/>
        <v/>
      </c>
      <c r="T120" s="163"/>
      <c r="U120" s="164"/>
      <c r="V120" s="168"/>
      <c r="W120" s="30"/>
      <c r="X120" s="30"/>
      <c r="Y120" s="30"/>
      <c r="Z120" s="30"/>
      <c r="AA120" s="163"/>
      <c r="AB120" s="164"/>
      <c r="AC120" s="169"/>
      <c r="AD120" s="37"/>
    </row>
    <row r="121" spans="1:30" ht="15" customHeight="1" x14ac:dyDescent="0.2">
      <c r="A121" s="27"/>
      <c r="B121" s="37"/>
      <c r="C121" s="174"/>
      <c r="D121" s="175"/>
      <c r="E121" s="142"/>
      <c r="F121" s="143"/>
      <c r="G121" s="60"/>
      <c r="H121" s="144"/>
      <c r="I121" s="60" t="s">
        <v>107</v>
      </c>
      <c r="J121" s="60">
        <f>J118</f>
        <v>2.1566358024691359E-3</v>
      </c>
      <c r="K121" s="71"/>
      <c r="L121" s="52"/>
      <c r="M121" s="143"/>
      <c r="N121" s="143"/>
      <c r="O121" s="143"/>
      <c r="P121" s="142" t="s">
        <v>122</v>
      </c>
      <c r="Q121" s="60">
        <f>Q119</f>
        <v>3.0324074074074073E-3</v>
      </c>
      <c r="R121" s="71"/>
      <c r="S121" s="52" t="str">
        <f t="shared" si="17"/>
        <v/>
      </c>
      <c r="T121" s="152"/>
      <c r="U121" s="143"/>
      <c r="V121" s="153"/>
      <c r="W121" s="30"/>
      <c r="X121" s="30"/>
      <c r="Y121" s="30"/>
      <c r="Z121" s="30"/>
      <c r="AA121" s="152"/>
      <c r="AB121" s="143"/>
      <c r="AC121" s="154"/>
      <c r="AD121" s="37"/>
    </row>
    <row r="122" spans="1:30" ht="15.75" customHeight="1" thickBot="1" x14ac:dyDescent="0.25">
      <c r="A122" s="27"/>
      <c r="B122" s="37"/>
      <c r="C122" s="174"/>
      <c r="D122" s="175"/>
      <c r="E122" s="142"/>
      <c r="F122" s="143"/>
      <c r="G122" s="60"/>
      <c r="H122" s="144"/>
      <c r="I122" s="60"/>
      <c r="J122" s="60"/>
      <c r="K122" s="71"/>
      <c r="L122" s="52"/>
      <c r="M122" s="143"/>
      <c r="N122" s="143"/>
      <c r="O122" s="30"/>
      <c r="P122" s="165" t="s">
        <v>111</v>
      </c>
      <c r="Q122" s="166"/>
      <c r="R122" s="166"/>
      <c r="S122" s="167"/>
      <c r="T122" s="152"/>
      <c r="U122" s="143"/>
      <c r="V122" s="85"/>
      <c r="W122" s="30"/>
      <c r="X122" s="30"/>
      <c r="Y122" s="30"/>
      <c r="Z122" s="30"/>
      <c r="AA122" s="152"/>
      <c r="AB122" s="143"/>
      <c r="AC122" s="35"/>
      <c r="AD122" s="37"/>
    </row>
    <row r="123" spans="1:30" ht="15.75" customHeight="1" x14ac:dyDescent="0.2">
      <c r="A123" s="27"/>
      <c r="B123" s="37"/>
      <c r="C123" s="172">
        <f>C113+1</f>
        <v>9</v>
      </c>
      <c r="D123" s="173"/>
      <c r="E123" s="178">
        <f>E45+(C123-1)*7</f>
        <v>42710</v>
      </c>
      <c r="F123" s="179"/>
      <c r="G123" s="179"/>
      <c r="H123" s="179"/>
      <c r="I123" s="179"/>
      <c r="J123" s="179"/>
      <c r="K123" s="179"/>
      <c r="L123" s="179"/>
      <c r="M123" s="179"/>
      <c r="N123" s="179"/>
      <c r="O123" s="179"/>
      <c r="P123" s="178">
        <f>P45+(C123-1)*7</f>
        <v>42713</v>
      </c>
      <c r="Q123" s="179"/>
      <c r="R123" s="179"/>
      <c r="S123" s="179"/>
      <c r="T123" s="179"/>
      <c r="U123" s="179"/>
      <c r="V123" s="180"/>
      <c r="W123" s="179">
        <f>W45+(C123-1)*7</f>
        <v>42715</v>
      </c>
      <c r="X123" s="179"/>
      <c r="Y123" s="179"/>
      <c r="Z123" s="179"/>
      <c r="AA123" s="179"/>
      <c r="AB123" s="179"/>
      <c r="AC123" s="181"/>
      <c r="AD123" s="37"/>
    </row>
    <row r="124" spans="1:30" ht="15" customHeight="1" x14ac:dyDescent="0.2">
      <c r="A124" s="27"/>
      <c r="B124" s="37"/>
      <c r="C124" s="174"/>
      <c r="D124" s="175"/>
      <c r="E124" s="182" t="s">
        <v>99</v>
      </c>
      <c r="F124" s="183"/>
      <c r="G124" s="183"/>
      <c r="H124" s="184"/>
      <c r="I124" s="185" t="s">
        <v>101</v>
      </c>
      <c r="J124" s="183"/>
      <c r="K124" s="183"/>
      <c r="L124" s="184"/>
      <c r="M124" s="183" t="s">
        <v>100</v>
      </c>
      <c r="N124" s="183"/>
      <c r="O124" s="183"/>
      <c r="P124" s="182" t="s">
        <v>99</v>
      </c>
      <c r="Q124" s="183"/>
      <c r="R124" s="183"/>
      <c r="S124" s="183"/>
      <c r="T124" s="185" t="s">
        <v>100</v>
      </c>
      <c r="U124" s="183"/>
      <c r="V124" s="186"/>
      <c r="W124" s="183" t="s">
        <v>99</v>
      </c>
      <c r="X124" s="183"/>
      <c r="Y124" s="183"/>
      <c r="Z124" s="183"/>
      <c r="AA124" s="185" t="s">
        <v>100</v>
      </c>
      <c r="AB124" s="183"/>
      <c r="AC124" s="187"/>
      <c r="AD124" s="37"/>
    </row>
    <row r="125" spans="1:30" ht="15" customHeight="1" x14ac:dyDescent="0.2">
      <c r="A125" s="27"/>
      <c r="B125" s="37"/>
      <c r="C125" s="174"/>
      <c r="D125" s="175"/>
      <c r="E125" s="188" t="s">
        <v>110</v>
      </c>
      <c r="F125" s="189"/>
      <c r="G125" s="189"/>
      <c r="H125" s="190"/>
      <c r="I125" s="60" t="s">
        <v>113</v>
      </c>
      <c r="J125" s="60" t="s">
        <v>114</v>
      </c>
      <c r="K125" s="71" t="s">
        <v>115</v>
      </c>
      <c r="L125" s="144" t="s">
        <v>116</v>
      </c>
      <c r="M125" s="74" t="s">
        <v>96</v>
      </c>
      <c r="N125" s="191"/>
      <c r="O125" s="191"/>
      <c r="P125" s="188" t="s">
        <v>110</v>
      </c>
      <c r="Q125" s="189"/>
      <c r="R125" s="189"/>
      <c r="S125" s="189"/>
      <c r="T125" s="77" t="s">
        <v>96</v>
      </c>
      <c r="U125" s="191"/>
      <c r="V125" s="192"/>
      <c r="W125" s="189" t="s">
        <v>110</v>
      </c>
      <c r="X125" s="189"/>
      <c r="Y125" s="189"/>
      <c r="Z125" s="189"/>
      <c r="AA125" s="77" t="s">
        <v>96</v>
      </c>
      <c r="AB125" s="191"/>
      <c r="AC125" s="193"/>
      <c r="AD125" s="37"/>
    </row>
    <row r="126" spans="1:30" ht="15" customHeight="1" x14ac:dyDescent="0.2">
      <c r="A126" s="27"/>
      <c r="B126" s="37"/>
      <c r="C126" s="174"/>
      <c r="D126" s="175"/>
      <c r="E126" s="142" t="s">
        <v>53</v>
      </c>
      <c r="F126" s="143" t="s">
        <v>54</v>
      </c>
      <c r="G126" s="143" t="s">
        <v>90</v>
      </c>
      <c r="H126" s="144" t="s">
        <v>55</v>
      </c>
      <c r="I126" s="60" t="s">
        <v>102</v>
      </c>
      <c r="J126" s="60">
        <f>G127</f>
        <v>3.3135609567901229E-3</v>
      </c>
      <c r="K126" s="71"/>
      <c r="L126" s="52" t="str">
        <f>IF(K126="","",ABS(J126-K126))</f>
        <v/>
      </c>
      <c r="M126" s="146" t="s">
        <v>97</v>
      </c>
      <c r="N126" s="164"/>
      <c r="O126" s="164"/>
      <c r="P126" s="142" t="s">
        <v>54</v>
      </c>
      <c r="Q126" s="143" t="s">
        <v>65</v>
      </c>
      <c r="R126" s="141" t="s">
        <v>117</v>
      </c>
      <c r="S126" s="143" t="s">
        <v>116</v>
      </c>
      <c r="T126" s="145" t="s">
        <v>97</v>
      </c>
      <c r="U126" s="164"/>
      <c r="V126" s="168"/>
      <c r="W126" s="143" t="s">
        <v>54</v>
      </c>
      <c r="X126" s="143" t="s">
        <v>65</v>
      </c>
      <c r="Y126" s="141" t="s">
        <v>117</v>
      </c>
      <c r="Z126" s="143" t="s">
        <v>116</v>
      </c>
      <c r="AA126" s="145" t="s">
        <v>97</v>
      </c>
      <c r="AB126" s="164"/>
      <c r="AC126" s="169"/>
      <c r="AD126" s="37"/>
    </row>
    <row r="127" spans="1:30" ht="15" customHeight="1" x14ac:dyDescent="0.2">
      <c r="A127" s="27"/>
      <c r="B127" s="37"/>
      <c r="C127" s="174"/>
      <c r="D127" s="175"/>
      <c r="E127" s="142" t="s">
        <v>61</v>
      </c>
      <c r="F127" s="143">
        <v>1200</v>
      </c>
      <c r="G127" s="60">
        <f>M41</f>
        <v>3.3135609567901229E-3</v>
      </c>
      <c r="H127" s="144" t="s">
        <v>57</v>
      </c>
      <c r="I127" s="60" t="s">
        <v>103</v>
      </c>
      <c r="J127" s="60">
        <f>G127</f>
        <v>3.3135609567901229E-3</v>
      </c>
      <c r="K127" s="71"/>
      <c r="L127" s="52" t="str">
        <f t="shared" ref="L127:L130" si="18">IF(K127="","",ABS(J127-K127))</f>
        <v/>
      </c>
      <c r="M127" s="146" t="s">
        <v>98</v>
      </c>
      <c r="N127" s="164"/>
      <c r="O127" s="164"/>
      <c r="P127" s="142" t="s">
        <v>120</v>
      </c>
      <c r="Q127" s="60">
        <f>T41</f>
        <v>3.0324074074074073E-3</v>
      </c>
      <c r="R127" s="71"/>
      <c r="S127" s="52" t="str">
        <f>IF(R127="","",ABS(Q127-R127))</f>
        <v/>
      </c>
      <c r="T127" s="145" t="s">
        <v>98</v>
      </c>
      <c r="U127" s="164"/>
      <c r="V127" s="168"/>
      <c r="W127" s="143" t="s">
        <v>139</v>
      </c>
      <c r="X127" s="60">
        <f>T43</f>
        <v>3.2523148148148147E-3</v>
      </c>
      <c r="Y127" s="71"/>
      <c r="Z127" s="52" t="str">
        <f>IF(Y127="","",ABS(X127-Y127))</f>
        <v/>
      </c>
      <c r="AA127" s="145" t="s">
        <v>98</v>
      </c>
      <c r="AB127" s="164"/>
      <c r="AC127" s="169"/>
      <c r="AD127" s="37"/>
    </row>
    <row r="128" spans="1:30" ht="15" customHeight="1" x14ac:dyDescent="0.2">
      <c r="A128" s="27"/>
      <c r="B128" s="37"/>
      <c r="C128" s="174"/>
      <c r="D128" s="175"/>
      <c r="E128" s="165" t="s">
        <v>111</v>
      </c>
      <c r="F128" s="166"/>
      <c r="G128" s="166"/>
      <c r="H128" s="167"/>
      <c r="I128" s="60" t="s">
        <v>104</v>
      </c>
      <c r="J128" s="60">
        <f>G127</f>
        <v>3.3135609567901229E-3</v>
      </c>
      <c r="K128" s="71"/>
      <c r="L128" s="52" t="str">
        <f t="shared" si="18"/>
        <v/>
      </c>
      <c r="M128" s="170" t="s">
        <v>112</v>
      </c>
      <c r="N128" s="171"/>
      <c r="O128" s="90"/>
      <c r="P128" s="165" t="s">
        <v>111</v>
      </c>
      <c r="Q128" s="166"/>
      <c r="R128" s="166"/>
      <c r="S128" s="167"/>
      <c r="T128" s="170" t="s">
        <v>112</v>
      </c>
      <c r="U128" s="171"/>
      <c r="V128" s="83"/>
      <c r="W128" s="166" t="s">
        <v>111</v>
      </c>
      <c r="X128" s="166"/>
      <c r="Y128" s="166"/>
      <c r="Z128" s="167"/>
      <c r="AA128" s="170" t="s">
        <v>112</v>
      </c>
      <c r="AB128" s="171"/>
      <c r="AC128" s="80"/>
      <c r="AD128" s="37"/>
    </row>
    <row r="129" spans="1:30" ht="15" customHeight="1" x14ac:dyDescent="0.2">
      <c r="A129" s="27"/>
      <c r="B129" s="37"/>
      <c r="C129" s="174"/>
      <c r="D129" s="175"/>
      <c r="E129" s="165"/>
      <c r="F129" s="166"/>
      <c r="G129" s="166"/>
      <c r="H129" s="167"/>
      <c r="I129" s="60" t="s">
        <v>105</v>
      </c>
      <c r="J129" s="60">
        <f>G127</f>
        <v>3.3135609567901229E-3</v>
      </c>
      <c r="K129" s="71"/>
      <c r="L129" s="52" t="str">
        <f t="shared" si="18"/>
        <v/>
      </c>
      <c r="M129" s="163" t="s">
        <v>88</v>
      </c>
      <c r="N129" s="164"/>
      <c r="O129" s="164"/>
      <c r="P129" s="142"/>
      <c r="Q129" s="60"/>
      <c r="R129" s="143"/>
      <c r="S129" s="52"/>
      <c r="T129" s="163" t="s">
        <v>88</v>
      </c>
      <c r="U129" s="164"/>
      <c r="V129" s="168"/>
      <c r="W129" s="30"/>
      <c r="X129" s="30"/>
      <c r="Y129" s="30"/>
      <c r="Z129" s="30"/>
      <c r="AA129" s="163" t="s">
        <v>88</v>
      </c>
      <c r="AB129" s="164"/>
      <c r="AC129" s="169"/>
      <c r="AD129" s="37"/>
    </row>
    <row r="130" spans="1:30" ht="15.75" customHeight="1" thickBot="1" x14ac:dyDescent="0.25">
      <c r="A130" s="27"/>
      <c r="B130" s="37"/>
      <c r="C130" s="174"/>
      <c r="D130" s="175"/>
      <c r="E130" s="84"/>
      <c r="F130" s="60"/>
      <c r="G130" s="60"/>
      <c r="H130" s="144"/>
      <c r="I130" s="60"/>
      <c r="J130" s="60"/>
      <c r="K130" s="71"/>
      <c r="L130" s="52" t="str">
        <f t="shared" si="18"/>
        <v/>
      </c>
      <c r="M130" s="163"/>
      <c r="N130" s="164"/>
      <c r="O130" s="164"/>
      <c r="P130" s="165"/>
      <c r="Q130" s="166"/>
      <c r="R130" s="166"/>
      <c r="S130" s="167"/>
      <c r="T130" s="163"/>
      <c r="U130" s="164"/>
      <c r="V130" s="168"/>
      <c r="W130" s="30"/>
      <c r="X130" s="30"/>
      <c r="Y130" s="30"/>
      <c r="Z130" s="30"/>
      <c r="AA130" s="163"/>
      <c r="AB130" s="164"/>
      <c r="AC130" s="169"/>
      <c r="AD130" s="37"/>
    </row>
    <row r="131" spans="1:30" ht="15.75" customHeight="1" x14ac:dyDescent="0.2">
      <c r="A131" s="27"/>
      <c r="B131" s="37"/>
      <c r="C131" s="172">
        <f>C123+1</f>
        <v>10</v>
      </c>
      <c r="D131" s="173"/>
      <c r="E131" s="178">
        <f>E45+(C131-1)*7</f>
        <v>42717</v>
      </c>
      <c r="F131" s="179"/>
      <c r="G131" s="179"/>
      <c r="H131" s="179"/>
      <c r="I131" s="179"/>
      <c r="J131" s="179"/>
      <c r="K131" s="179"/>
      <c r="L131" s="179"/>
      <c r="M131" s="179"/>
      <c r="N131" s="179"/>
      <c r="O131" s="179"/>
      <c r="P131" s="178">
        <f>P45+(C131-1)*7</f>
        <v>42720</v>
      </c>
      <c r="Q131" s="179"/>
      <c r="R131" s="179"/>
      <c r="S131" s="179"/>
      <c r="T131" s="179"/>
      <c r="U131" s="179"/>
      <c r="V131" s="180"/>
      <c r="W131" s="179">
        <f>W45+(C131-1)*7</f>
        <v>42722</v>
      </c>
      <c r="X131" s="179"/>
      <c r="Y131" s="179"/>
      <c r="Z131" s="179"/>
      <c r="AA131" s="179"/>
      <c r="AB131" s="179"/>
      <c r="AC131" s="181"/>
      <c r="AD131" s="37"/>
    </row>
    <row r="132" spans="1:30" ht="15" customHeight="1" x14ac:dyDescent="0.2">
      <c r="A132" s="27"/>
      <c r="B132" s="37"/>
      <c r="C132" s="174"/>
      <c r="D132" s="175"/>
      <c r="E132" s="182" t="s">
        <v>99</v>
      </c>
      <c r="F132" s="183"/>
      <c r="G132" s="183"/>
      <c r="H132" s="184"/>
      <c r="I132" s="185" t="s">
        <v>101</v>
      </c>
      <c r="J132" s="183"/>
      <c r="K132" s="183"/>
      <c r="L132" s="184"/>
      <c r="M132" s="183" t="s">
        <v>100</v>
      </c>
      <c r="N132" s="183"/>
      <c r="O132" s="183"/>
      <c r="P132" s="182" t="s">
        <v>99</v>
      </c>
      <c r="Q132" s="183"/>
      <c r="R132" s="183"/>
      <c r="S132" s="183"/>
      <c r="T132" s="185" t="s">
        <v>100</v>
      </c>
      <c r="U132" s="183"/>
      <c r="V132" s="186"/>
      <c r="W132" s="183" t="s">
        <v>99</v>
      </c>
      <c r="X132" s="183"/>
      <c r="Y132" s="183"/>
      <c r="Z132" s="183"/>
      <c r="AA132" s="185" t="s">
        <v>100</v>
      </c>
      <c r="AB132" s="183"/>
      <c r="AC132" s="187"/>
      <c r="AD132" s="37"/>
    </row>
    <row r="133" spans="1:30" ht="15" customHeight="1" x14ac:dyDescent="0.2">
      <c r="A133" s="27"/>
      <c r="B133" s="37"/>
      <c r="C133" s="174"/>
      <c r="D133" s="175"/>
      <c r="E133" s="188" t="s">
        <v>110</v>
      </c>
      <c r="F133" s="189"/>
      <c r="G133" s="189"/>
      <c r="H133" s="190"/>
      <c r="I133" s="60" t="s">
        <v>113</v>
      </c>
      <c r="J133" s="60" t="s">
        <v>114</v>
      </c>
      <c r="K133" s="71" t="s">
        <v>115</v>
      </c>
      <c r="L133" s="144" t="s">
        <v>116</v>
      </c>
      <c r="M133" s="74" t="s">
        <v>96</v>
      </c>
      <c r="N133" s="191"/>
      <c r="O133" s="191"/>
      <c r="P133" s="188" t="s">
        <v>110</v>
      </c>
      <c r="Q133" s="189"/>
      <c r="R133" s="189"/>
      <c r="S133" s="189"/>
      <c r="T133" s="77" t="s">
        <v>96</v>
      </c>
      <c r="U133" s="191"/>
      <c r="V133" s="192"/>
      <c r="W133" s="189" t="s">
        <v>110</v>
      </c>
      <c r="X133" s="189"/>
      <c r="Y133" s="189"/>
      <c r="Z133" s="189"/>
      <c r="AA133" s="77" t="s">
        <v>96</v>
      </c>
      <c r="AB133" s="191"/>
      <c r="AC133" s="193"/>
      <c r="AD133" s="37"/>
    </row>
    <row r="134" spans="1:30" ht="15" customHeight="1" x14ac:dyDescent="0.2">
      <c r="A134" s="27"/>
      <c r="B134" s="37"/>
      <c r="C134" s="174"/>
      <c r="D134" s="175"/>
      <c r="E134" s="142" t="s">
        <v>53</v>
      </c>
      <c r="F134" s="143" t="s">
        <v>54</v>
      </c>
      <c r="G134" s="143" t="s">
        <v>90</v>
      </c>
      <c r="H134" s="144" t="s">
        <v>55</v>
      </c>
      <c r="I134" s="60" t="s">
        <v>102</v>
      </c>
      <c r="J134" s="60">
        <f>G135</f>
        <v>2.7247299382716049E-3</v>
      </c>
      <c r="K134" s="71"/>
      <c r="L134" s="52" t="str">
        <f>IF(K134="","",ABS(J134-K134))</f>
        <v/>
      </c>
      <c r="M134" s="146" t="s">
        <v>97</v>
      </c>
      <c r="N134" s="164"/>
      <c r="O134" s="164"/>
      <c r="P134" s="142" t="s">
        <v>54</v>
      </c>
      <c r="Q134" s="143" t="s">
        <v>65</v>
      </c>
      <c r="R134" s="141" t="s">
        <v>117</v>
      </c>
      <c r="S134" s="143" t="s">
        <v>116</v>
      </c>
      <c r="T134" s="145" t="s">
        <v>97</v>
      </c>
      <c r="U134" s="164"/>
      <c r="V134" s="168"/>
      <c r="W134" s="143" t="s">
        <v>54</v>
      </c>
      <c r="X134" s="143" t="s">
        <v>65</v>
      </c>
      <c r="Y134" s="141" t="s">
        <v>117</v>
      </c>
      <c r="Z134" s="143" t="s">
        <v>116</v>
      </c>
      <c r="AA134" s="145" t="s">
        <v>97</v>
      </c>
      <c r="AB134" s="164"/>
      <c r="AC134" s="169"/>
      <c r="AD134" s="37"/>
    </row>
    <row r="135" spans="1:30" ht="15" customHeight="1" x14ac:dyDescent="0.2">
      <c r="A135" s="27"/>
      <c r="B135" s="37"/>
      <c r="C135" s="174"/>
      <c r="D135" s="175"/>
      <c r="E135" s="142" t="s">
        <v>58</v>
      </c>
      <c r="F135" s="143">
        <v>1000</v>
      </c>
      <c r="G135" s="60">
        <f>G44</f>
        <v>2.7247299382716049E-3</v>
      </c>
      <c r="H135" s="144" t="s">
        <v>57</v>
      </c>
      <c r="I135" s="60" t="s">
        <v>103</v>
      </c>
      <c r="J135" s="60">
        <f>J134</f>
        <v>2.7247299382716049E-3</v>
      </c>
      <c r="K135" s="71"/>
      <c r="L135" s="52" t="str">
        <f t="shared" ref="L135:L138" si="19">IF(K135="","",ABS(J135-K135))</f>
        <v/>
      </c>
      <c r="M135" s="146" t="s">
        <v>98</v>
      </c>
      <c r="N135" s="164"/>
      <c r="O135" s="164"/>
      <c r="P135" s="142" t="s">
        <v>121</v>
      </c>
      <c r="Q135" s="60">
        <f>T42</f>
        <v>3.1481481481481482E-3</v>
      </c>
      <c r="R135" s="71"/>
      <c r="S135" s="52" t="str">
        <f>IF(R135="","",ABS(Q135-R135))</f>
        <v/>
      </c>
      <c r="T135" s="145" t="s">
        <v>98</v>
      </c>
      <c r="U135" s="164"/>
      <c r="V135" s="168"/>
      <c r="W135" s="143" t="s">
        <v>128</v>
      </c>
      <c r="X135" s="60">
        <f>T43</f>
        <v>3.2523148148148147E-3</v>
      </c>
      <c r="Y135" s="71"/>
      <c r="Z135" s="52" t="str">
        <f>IF(Y135="","",ABS(X135-Y135))</f>
        <v/>
      </c>
      <c r="AA135" s="145" t="s">
        <v>98</v>
      </c>
      <c r="AB135" s="164"/>
      <c r="AC135" s="169"/>
      <c r="AD135" s="37"/>
    </row>
    <row r="136" spans="1:30" ht="15" customHeight="1" x14ac:dyDescent="0.2">
      <c r="A136" s="27"/>
      <c r="B136" s="37"/>
      <c r="C136" s="174"/>
      <c r="D136" s="175"/>
      <c r="E136" s="165" t="s">
        <v>111</v>
      </c>
      <c r="F136" s="166"/>
      <c r="G136" s="166"/>
      <c r="H136" s="167"/>
      <c r="I136" s="60" t="s">
        <v>104</v>
      </c>
      <c r="J136" s="60">
        <f t="shared" ref="J136:J138" si="20">J135</f>
        <v>2.7247299382716049E-3</v>
      </c>
      <c r="K136" s="71"/>
      <c r="L136" s="52" t="str">
        <f t="shared" si="19"/>
        <v/>
      </c>
      <c r="M136" s="170" t="s">
        <v>112</v>
      </c>
      <c r="N136" s="171"/>
      <c r="O136" s="90"/>
      <c r="P136" s="165" t="s">
        <v>111</v>
      </c>
      <c r="Q136" s="166"/>
      <c r="R136" s="166"/>
      <c r="S136" s="167"/>
      <c r="T136" s="170" t="s">
        <v>112</v>
      </c>
      <c r="U136" s="171"/>
      <c r="V136" s="83"/>
      <c r="W136" s="166" t="s">
        <v>111</v>
      </c>
      <c r="X136" s="166"/>
      <c r="Y136" s="166"/>
      <c r="Z136" s="167"/>
      <c r="AA136" s="170" t="s">
        <v>112</v>
      </c>
      <c r="AB136" s="171"/>
      <c r="AC136" s="80"/>
      <c r="AD136" s="37"/>
    </row>
    <row r="137" spans="1:30" ht="15" customHeight="1" x14ac:dyDescent="0.2">
      <c r="A137" s="27"/>
      <c r="B137" s="37"/>
      <c r="C137" s="174"/>
      <c r="D137" s="175"/>
      <c r="E137" s="142"/>
      <c r="F137" s="143"/>
      <c r="G137" s="60"/>
      <c r="H137" s="144"/>
      <c r="I137" s="60" t="s">
        <v>105</v>
      </c>
      <c r="J137" s="60">
        <f t="shared" si="20"/>
        <v>2.7247299382716049E-3</v>
      </c>
      <c r="K137" s="71"/>
      <c r="L137" s="52" t="str">
        <f t="shared" si="19"/>
        <v/>
      </c>
      <c r="M137" s="163" t="s">
        <v>88</v>
      </c>
      <c r="N137" s="164"/>
      <c r="O137" s="164"/>
      <c r="P137" s="142"/>
      <c r="Q137" s="60"/>
      <c r="R137" s="60"/>
      <c r="S137" s="52"/>
      <c r="T137" s="163" t="s">
        <v>88</v>
      </c>
      <c r="U137" s="164"/>
      <c r="V137" s="168"/>
      <c r="W137" s="30"/>
      <c r="X137" s="30"/>
      <c r="Y137" s="30"/>
      <c r="Z137" s="30"/>
      <c r="AA137" s="163" t="s">
        <v>88</v>
      </c>
      <c r="AB137" s="164"/>
      <c r="AC137" s="169"/>
      <c r="AD137" s="37"/>
    </row>
    <row r="138" spans="1:30" ht="15" customHeight="1" thickBot="1" x14ac:dyDescent="0.25">
      <c r="A138" s="27"/>
      <c r="B138" s="37"/>
      <c r="C138" s="174"/>
      <c r="D138" s="175"/>
      <c r="E138" s="142"/>
      <c r="F138" s="143"/>
      <c r="G138" s="60"/>
      <c r="H138" s="144"/>
      <c r="I138" s="60" t="s">
        <v>106</v>
      </c>
      <c r="J138" s="60">
        <f t="shared" si="20"/>
        <v>2.7247299382716049E-3</v>
      </c>
      <c r="K138" s="71"/>
      <c r="L138" s="52" t="str">
        <f t="shared" si="19"/>
        <v/>
      </c>
      <c r="M138" s="163"/>
      <c r="N138" s="164"/>
      <c r="O138" s="164"/>
      <c r="P138" s="142"/>
      <c r="Q138" s="60"/>
      <c r="R138" s="60"/>
      <c r="S138" s="52"/>
      <c r="T138" s="163"/>
      <c r="U138" s="164"/>
      <c r="V138" s="168"/>
      <c r="W138" s="30"/>
      <c r="X138" s="30"/>
      <c r="Y138" s="30"/>
      <c r="Z138" s="30"/>
      <c r="AA138" s="163"/>
      <c r="AB138" s="164"/>
      <c r="AC138" s="169"/>
      <c r="AD138" s="37"/>
    </row>
    <row r="139" spans="1:30" ht="15" customHeight="1" x14ac:dyDescent="0.2">
      <c r="A139" s="27"/>
      <c r="B139" s="37"/>
      <c r="C139" s="172">
        <f>C131+1</f>
        <v>11</v>
      </c>
      <c r="D139" s="173"/>
      <c r="E139" s="178">
        <f>E45+(C139-1)*7</f>
        <v>42724</v>
      </c>
      <c r="F139" s="179"/>
      <c r="G139" s="179"/>
      <c r="H139" s="179"/>
      <c r="I139" s="179"/>
      <c r="J139" s="179"/>
      <c r="K139" s="179"/>
      <c r="L139" s="179"/>
      <c r="M139" s="179"/>
      <c r="N139" s="179"/>
      <c r="O139" s="179"/>
      <c r="P139" s="178">
        <f>P45+(C139-1)*7</f>
        <v>42727</v>
      </c>
      <c r="Q139" s="179"/>
      <c r="R139" s="179"/>
      <c r="S139" s="179"/>
      <c r="T139" s="179"/>
      <c r="U139" s="179"/>
      <c r="V139" s="180"/>
      <c r="W139" s="179">
        <f>W45+(C139-1)*7</f>
        <v>42729</v>
      </c>
      <c r="X139" s="179"/>
      <c r="Y139" s="179"/>
      <c r="Z139" s="179"/>
      <c r="AA139" s="179"/>
      <c r="AB139" s="179"/>
      <c r="AC139" s="181"/>
      <c r="AD139" s="37"/>
    </row>
    <row r="140" spans="1:30" ht="15.75" customHeight="1" x14ac:dyDescent="0.2">
      <c r="A140" s="27"/>
      <c r="B140" s="37"/>
      <c r="C140" s="174"/>
      <c r="D140" s="175"/>
      <c r="E140" s="182" t="s">
        <v>99</v>
      </c>
      <c r="F140" s="183"/>
      <c r="G140" s="183"/>
      <c r="H140" s="184"/>
      <c r="I140" s="185" t="s">
        <v>101</v>
      </c>
      <c r="J140" s="183"/>
      <c r="K140" s="183"/>
      <c r="L140" s="184"/>
      <c r="M140" s="183" t="s">
        <v>100</v>
      </c>
      <c r="N140" s="183"/>
      <c r="O140" s="183"/>
      <c r="P140" s="182" t="s">
        <v>99</v>
      </c>
      <c r="Q140" s="183"/>
      <c r="R140" s="183"/>
      <c r="S140" s="183"/>
      <c r="T140" s="185" t="s">
        <v>100</v>
      </c>
      <c r="U140" s="183"/>
      <c r="V140" s="186"/>
      <c r="W140" s="183" t="s">
        <v>99</v>
      </c>
      <c r="X140" s="183"/>
      <c r="Y140" s="183"/>
      <c r="Z140" s="183"/>
      <c r="AA140" s="185" t="s">
        <v>100</v>
      </c>
      <c r="AB140" s="183"/>
      <c r="AC140" s="187"/>
      <c r="AD140" s="37"/>
    </row>
    <row r="141" spans="1:30" ht="15.75" customHeight="1" x14ac:dyDescent="0.2">
      <c r="A141" s="27"/>
      <c r="B141" s="37"/>
      <c r="C141" s="174"/>
      <c r="D141" s="175"/>
      <c r="E141" s="188" t="s">
        <v>110</v>
      </c>
      <c r="F141" s="189"/>
      <c r="G141" s="189"/>
      <c r="H141" s="190"/>
      <c r="I141" s="60" t="s">
        <v>113</v>
      </c>
      <c r="J141" s="60" t="s">
        <v>114</v>
      </c>
      <c r="K141" s="71" t="s">
        <v>115</v>
      </c>
      <c r="L141" s="144" t="s">
        <v>116</v>
      </c>
      <c r="M141" s="74" t="s">
        <v>96</v>
      </c>
      <c r="N141" s="191"/>
      <c r="O141" s="191"/>
      <c r="P141" s="188" t="s">
        <v>110</v>
      </c>
      <c r="Q141" s="189"/>
      <c r="R141" s="189"/>
      <c r="S141" s="189"/>
      <c r="T141" s="77" t="s">
        <v>96</v>
      </c>
      <c r="U141" s="191"/>
      <c r="V141" s="192"/>
      <c r="W141" s="189" t="s">
        <v>110</v>
      </c>
      <c r="X141" s="189"/>
      <c r="Y141" s="189"/>
      <c r="Z141" s="189"/>
      <c r="AA141" s="77" t="s">
        <v>96</v>
      </c>
      <c r="AB141" s="191"/>
      <c r="AC141" s="193"/>
      <c r="AD141" s="37"/>
    </row>
    <row r="142" spans="1:30" ht="15" customHeight="1" x14ac:dyDescent="0.2">
      <c r="A142" s="27"/>
      <c r="B142" s="37"/>
      <c r="C142" s="174"/>
      <c r="D142" s="175"/>
      <c r="E142" s="142" t="s">
        <v>53</v>
      </c>
      <c r="F142" s="143" t="s">
        <v>54</v>
      </c>
      <c r="G142" s="143" t="s">
        <v>90</v>
      </c>
      <c r="H142" s="144" t="s">
        <v>55</v>
      </c>
      <c r="I142" s="60" t="s">
        <v>102</v>
      </c>
      <c r="J142" s="60">
        <f>G143</f>
        <v>4.5076195987654322E-3</v>
      </c>
      <c r="K142" s="71"/>
      <c r="L142" s="52" t="str">
        <f>IF(K142="","",ABS(J142-K142))</f>
        <v/>
      </c>
      <c r="M142" s="146" t="s">
        <v>97</v>
      </c>
      <c r="N142" s="164"/>
      <c r="O142" s="164"/>
      <c r="P142" s="142" t="s">
        <v>54</v>
      </c>
      <c r="Q142" s="143" t="s">
        <v>65</v>
      </c>
      <c r="R142" s="141" t="s">
        <v>117</v>
      </c>
      <c r="S142" s="143" t="s">
        <v>116</v>
      </c>
      <c r="T142" s="145" t="s">
        <v>97</v>
      </c>
      <c r="U142" s="164"/>
      <c r="V142" s="168"/>
      <c r="W142" s="143" t="s">
        <v>54</v>
      </c>
      <c r="X142" s="143" t="s">
        <v>65</v>
      </c>
      <c r="Y142" s="141" t="s">
        <v>117</v>
      </c>
      <c r="Z142" s="143" t="s">
        <v>116</v>
      </c>
      <c r="AA142" s="145" t="s">
        <v>97</v>
      </c>
      <c r="AB142" s="164"/>
      <c r="AC142" s="169"/>
      <c r="AD142" s="37"/>
    </row>
    <row r="143" spans="1:30" ht="15" customHeight="1" x14ac:dyDescent="0.2">
      <c r="A143" s="27"/>
      <c r="B143" s="37"/>
      <c r="C143" s="174"/>
      <c r="D143" s="175"/>
      <c r="E143" s="142" t="s">
        <v>64</v>
      </c>
      <c r="F143" s="143">
        <v>1600</v>
      </c>
      <c r="G143" s="60">
        <f>M42</f>
        <v>4.5076195987654322E-3</v>
      </c>
      <c r="H143" s="144" t="s">
        <v>57</v>
      </c>
      <c r="I143" s="60" t="s">
        <v>103</v>
      </c>
      <c r="J143" s="60">
        <f>G143</f>
        <v>4.5076195987654322E-3</v>
      </c>
      <c r="K143" s="71"/>
      <c r="L143" s="52" t="str">
        <f t="shared" ref="L143:L146" si="21">IF(K143="","",ABS(J143-K143))</f>
        <v/>
      </c>
      <c r="M143" s="146" t="s">
        <v>98</v>
      </c>
      <c r="N143" s="164"/>
      <c r="O143" s="164"/>
      <c r="P143" s="142" t="s">
        <v>120</v>
      </c>
      <c r="Q143" s="60">
        <f>T41</f>
        <v>3.0324074074074073E-3</v>
      </c>
      <c r="R143" s="71"/>
      <c r="S143" s="52" t="str">
        <f>IF(R143="","",ABS(Q143-R143))</f>
        <v/>
      </c>
      <c r="T143" s="145" t="s">
        <v>98</v>
      </c>
      <c r="U143" s="164"/>
      <c r="V143" s="168"/>
      <c r="W143" s="143" t="s">
        <v>124</v>
      </c>
      <c r="X143" s="60">
        <f>T43</f>
        <v>3.2523148148148147E-3</v>
      </c>
      <c r="Y143" s="71"/>
      <c r="Z143" s="52" t="str">
        <f>IF(Y143="","",ABS(X143-Y143))</f>
        <v/>
      </c>
      <c r="AA143" s="145" t="s">
        <v>98</v>
      </c>
      <c r="AB143" s="164"/>
      <c r="AC143" s="169"/>
      <c r="AD143" s="37"/>
    </row>
    <row r="144" spans="1:30" ht="15" customHeight="1" x14ac:dyDescent="0.2">
      <c r="A144" s="27"/>
      <c r="B144" s="37"/>
      <c r="C144" s="174"/>
      <c r="D144" s="175"/>
      <c r="E144" s="165" t="s">
        <v>111</v>
      </c>
      <c r="F144" s="166"/>
      <c r="G144" s="166"/>
      <c r="H144" s="167"/>
      <c r="I144" s="60" t="s">
        <v>104</v>
      </c>
      <c r="J144" s="60">
        <f>G143</f>
        <v>4.5076195987654322E-3</v>
      </c>
      <c r="K144" s="71"/>
      <c r="L144" s="52" t="str">
        <f t="shared" si="21"/>
        <v/>
      </c>
      <c r="M144" s="170" t="s">
        <v>112</v>
      </c>
      <c r="N144" s="171"/>
      <c r="O144" s="90"/>
      <c r="P144" s="165" t="s">
        <v>111</v>
      </c>
      <c r="Q144" s="166"/>
      <c r="R144" s="166"/>
      <c r="S144" s="167"/>
      <c r="T144" s="170" t="s">
        <v>112</v>
      </c>
      <c r="U144" s="171"/>
      <c r="V144" s="83"/>
      <c r="W144" s="166" t="s">
        <v>111</v>
      </c>
      <c r="X144" s="166"/>
      <c r="Y144" s="166"/>
      <c r="Z144" s="167"/>
      <c r="AA144" s="170" t="s">
        <v>112</v>
      </c>
      <c r="AB144" s="171"/>
      <c r="AC144" s="80"/>
      <c r="AD144" s="37"/>
    </row>
    <row r="145" spans="1:30" ht="15" customHeight="1" x14ac:dyDescent="0.2">
      <c r="A145" s="27"/>
      <c r="B145" s="37"/>
      <c r="C145" s="174"/>
      <c r="D145" s="175"/>
      <c r="E145" s="165"/>
      <c r="F145" s="166"/>
      <c r="G145" s="166"/>
      <c r="H145" s="167"/>
      <c r="I145" s="60"/>
      <c r="J145" s="60"/>
      <c r="K145" s="71"/>
      <c r="L145" s="52" t="str">
        <f t="shared" si="21"/>
        <v/>
      </c>
      <c r="M145" s="163" t="s">
        <v>88</v>
      </c>
      <c r="N145" s="164"/>
      <c r="O145" s="164"/>
      <c r="P145" s="142"/>
      <c r="Q145" s="60"/>
      <c r="R145" s="143"/>
      <c r="S145" s="52"/>
      <c r="T145" s="163" t="s">
        <v>88</v>
      </c>
      <c r="U145" s="164"/>
      <c r="V145" s="168"/>
      <c r="W145" s="30"/>
      <c r="X145" s="30"/>
      <c r="Y145" s="30"/>
      <c r="Z145" s="30"/>
      <c r="AA145" s="163" t="s">
        <v>88</v>
      </c>
      <c r="AB145" s="164"/>
      <c r="AC145" s="169"/>
      <c r="AD145" s="37"/>
    </row>
    <row r="146" spans="1:30" ht="15" customHeight="1" thickBot="1" x14ac:dyDescent="0.25">
      <c r="A146" s="27"/>
      <c r="B146" s="37"/>
      <c r="C146" s="174"/>
      <c r="D146" s="175"/>
      <c r="E146" s="84"/>
      <c r="F146" s="60"/>
      <c r="G146" s="60"/>
      <c r="H146" s="144"/>
      <c r="I146" s="60"/>
      <c r="J146" s="60"/>
      <c r="K146" s="71"/>
      <c r="L146" s="52" t="str">
        <f t="shared" si="21"/>
        <v/>
      </c>
      <c r="M146" s="163"/>
      <c r="N146" s="164"/>
      <c r="O146" s="164"/>
      <c r="P146" s="165"/>
      <c r="Q146" s="166"/>
      <c r="R146" s="166"/>
      <c r="S146" s="167"/>
      <c r="T146" s="163"/>
      <c r="U146" s="164"/>
      <c r="V146" s="168"/>
      <c r="W146" s="30"/>
      <c r="X146" s="30"/>
      <c r="Y146" s="30"/>
      <c r="Z146" s="30"/>
      <c r="AA146" s="163"/>
      <c r="AB146" s="164"/>
      <c r="AC146" s="169"/>
      <c r="AD146" s="37"/>
    </row>
    <row r="147" spans="1:30" ht="15" customHeight="1" x14ac:dyDescent="0.2">
      <c r="A147" s="27"/>
      <c r="B147" s="37"/>
      <c r="C147" s="172">
        <f>C139+1</f>
        <v>12</v>
      </c>
      <c r="D147" s="173"/>
      <c r="E147" s="178">
        <f>E45+(C147-1)*7</f>
        <v>42731</v>
      </c>
      <c r="F147" s="179"/>
      <c r="G147" s="179"/>
      <c r="H147" s="179"/>
      <c r="I147" s="179"/>
      <c r="J147" s="179"/>
      <c r="K147" s="179"/>
      <c r="L147" s="179"/>
      <c r="M147" s="179"/>
      <c r="N147" s="179"/>
      <c r="O147" s="179"/>
      <c r="P147" s="178">
        <f>P45+(C147-1)*7</f>
        <v>42734</v>
      </c>
      <c r="Q147" s="179"/>
      <c r="R147" s="179"/>
      <c r="S147" s="179"/>
      <c r="T147" s="179"/>
      <c r="U147" s="179"/>
      <c r="V147" s="180"/>
      <c r="W147" s="179">
        <f>W45+(C147-1)*7</f>
        <v>42736</v>
      </c>
      <c r="X147" s="179"/>
      <c r="Y147" s="179"/>
      <c r="Z147" s="179"/>
      <c r="AA147" s="179"/>
      <c r="AB147" s="179"/>
      <c r="AC147" s="181"/>
      <c r="AD147" s="37"/>
    </row>
    <row r="148" spans="1:30" ht="15.75" customHeight="1" x14ac:dyDescent="0.2">
      <c r="A148" s="27"/>
      <c r="B148" s="37"/>
      <c r="C148" s="174"/>
      <c r="D148" s="175"/>
      <c r="E148" s="182" t="s">
        <v>99</v>
      </c>
      <c r="F148" s="183"/>
      <c r="G148" s="183"/>
      <c r="H148" s="184"/>
      <c r="I148" s="185" t="s">
        <v>101</v>
      </c>
      <c r="J148" s="183"/>
      <c r="K148" s="183"/>
      <c r="L148" s="184"/>
      <c r="M148" s="183" t="s">
        <v>100</v>
      </c>
      <c r="N148" s="183"/>
      <c r="O148" s="183"/>
      <c r="P148" s="182" t="s">
        <v>99</v>
      </c>
      <c r="Q148" s="183"/>
      <c r="R148" s="183"/>
      <c r="S148" s="183"/>
      <c r="T148" s="185" t="s">
        <v>100</v>
      </c>
      <c r="U148" s="183"/>
      <c r="V148" s="186"/>
      <c r="W148" s="183" t="s">
        <v>99</v>
      </c>
      <c r="X148" s="183"/>
      <c r="Y148" s="183"/>
      <c r="Z148" s="183"/>
      <c r="AA148" s="185" t="s">
        <v>100</v>
      </c>
      <c r="AB148" s="183"/>
      <c r="AC148" s="187"/>
      <c r="AD148" s="37"/>
    </row>
    <row r="149" spans="1:30" ht="15.75" customHeight="1" x14ac:dyDescent="0.2">
      <c r="A149" s="27"/>
      <c r="B149" s="37"/>
      <c r="C149" s="174"/>
      <c r="D149" s="175"/>
      <c r="E149" s="188" t="s">
        <v>110</v>
      </c>
      <c r="F149" s="189"/>
      <c r="G149" s="189"/>
      <c r="H149" s="190"/>
      <c r="I149" s="60" t="s">
        <v>113</v>
      </c>
      <c r="J149" s="60" t="s">
        <v>114</v>
      </c>
      <c r="K149" s="71" t="s">
        <v>115</v>
      </c>
      <c r="L149" s="144" t="s">
        <v>116</v>
      </c>
      <c r="M149" s="74" t="s">
        <v>96</v>
      </c>
      <c r="N149" s="191"/>
      <c r="O149" s="191"/>
      <c r="P149" s="188" t="s">
        <v>110</v>
      </c>
      <c r="Q149" s="189"/>
      <c r="R149" s="189"/>
      <c r="S149" s="189"/>
      <c r="T149" s="77" t="s">
        <v>96</v>
      </c>
      <c r="U149" s="191"/>
      <c r="V149" s="192"/>
      <c r="W149" s="189" t="s">
        <v>110</v>
      </c>
      <c r="X149" s="189"/>
      <c r="Y149" s="189"/>
      <c r="Z149" s="189"/>
      <c r="AA149" s="77" t="s">
        <v>96</v>
      </c>
      <c r="AB149" s="191"/>
      <c r="AC149" s="193"/>
      <c r="AD149" s="37"/>
    </row>
    <row r="150" spans="1:30" ht="15" customHeight="1" x14ac:dyDescent="0.2">
      <c r="A150" s="27"/>
      <c r="B150" s="37"/>
      <c r="C150" s="174"/>
      <c r="D150" s="175"/>
      <c r="E150" s="142" t="s">
        <v>53</v>
      </c>
      <c r="F150" s="143" t="s">
        <v>54</v>
      </c>
      <c r="G150" s="143" t="s">
        <v>90</v>
      </c>
      <c r="H150" s="144" t="s">
        <v>55</v>
      </c>
      <c r="I150" s="60" t="s">
        <v>102</v>
      </c>
      <c r="J150" s="60">
        <f>G151</f>
        <v>1.0551697530864197E-3</v>
      </c>
      <c r="K150" s="71"/>
      <c r="L150" s="52" t="str">
        <f>IF(K150="","",ABS(J150-K150))</f>
        <v/>
      </c>
      <c r="M150" s="146" t="s">
        <v>97</v>
      </c>
      <c r="N150" s="164"/>
      <c r="O150" s="164"/>
      <c r="P150" s="142" t="s">
        <v>54</v>
      </c>
      <c r="Q150" s="143" t="s">
        <v>65</v>
      </c>
      <c r="R150" s="141" t="s">
        <v>117</v>
      </c>
      <c r="S150" s="143" t="s">
        <v>116</v>
      </c>
      <c r="T150" s="145" t="s">
        <v>97</v>
      </c>
      <c r="U150" s="164"/>
      <c r="V150" s="168"/>
      <c r="W150" s="143"/>
      <c r="X150" s="143"/>
      <c r="Y150" s="143"/>
      <c r="Z150" s="143"/>
      <c r="AA150" s="145" t="s">
        <v>97</v>
      </c>
      <c r="AB150" s="164"/>
      <c r="AC150" s="169"/>
      <c r="AD150" s="37"/>
    </row>
    <row r="151" spans="1:30" ht="15" customHeight="1" x14ac:dyDescent="0.2">
      <c r="A151" s="27"/>
      <c r="B151" s="37"/>
      <c r="C151" s="174"/>
      <c r="D151" s="175"/>
      <c r="E151" s="142" t="s">
        <v>63</v>
      </c>
      <c r="F151" s="143">
        <v>400</v>
      </c>
      <c r="G151" s="60">
        <f>G41</f>
        <v>1.0551697530864197E-3</v>
      </c>
      <c r="H151" s="144" t="s">
        <v>129</v>
      </c>
      <c r="I151" s="60" t="s">
        <v>103</v>
      </c>
      <c r="J151" s="60">
        <f>J150</f>
        <v>1.0551697530864197E-3</v>
      </c>
      <c r="K151" s="71"/>
      <c r="L151" s="52" t="str">
        <f t="shared" ref="L151:L155" si="22">IF(K151="","",ABS(J151-K151))</f>
        <v/>
      </c>
      <c r="M151" s="146" t="s">
        <v>98</v>
      </c>
      <c r="N151" s="164"/>
      <c r="O151" s="164"/>
      <c r="P151" s="142" t="s">
        <v>120</v>
      </c>
      <c r="Q151" s="60">
        <f>T44</f>
        <v>3.7268518518518519E-3</v>
      </c>
      <c r="R151" s="71"/>
      <c r="S151" s="52" t="str">
        <f>IF(R151="","",ABS(Q151-R151))</f>
        <v/>
      </c>
      <c r="T151" s="145" t="s">
        <v>98</v>
      </c>
      <c r="U151" s="164"/>
      <c r="V151" s="168"/>
      <c r="W151" s="231" t="s">
        <v>140</v>
      </c>
      <c r="X151" s="231"/>
      <c r="Y151" s="231"/>
      <c r="Z151" s="297"/>
      <c r="AA151" s="145" t="s">
        <v>98</v>
      </c>
      <c r="AB151" s="164"/>
      <c r="AC151" s="169"/>
      <c r="AD151" s="37"/>
    </row>
    <row r="152" spans="1:30" ht="15" customHeight="1" x14ac:dyDescent="0.2">
      <c r="A152" s="27"/>
      <c r="B152" s="37"/>
      <c r="C152" s="174"/>
      <c r="D152" s="175"/>
      <c r="E152" s="165" t="s">
        <v>111</v>
      </c>
      <c r="F152" s="166"/>
      <c r="G152" s="166"/>
      <c r="H152" s="167"/>
      <c r="I152" s="60" t="s">
        <v>104</v>
      </c>
      <c r="J152" s="60">
        <f t="shared" ref="J152:J155" si="23">J151</f>
        <v>1.0551697530864197E-3</v>
      </c>
      <c r="K152" s="71"/>
      <c r="L152" s="52" t="str">
        <f t="shared" si="22"/>
        <v/>
      </c>
      <c r="M152" s="170" t="s">
        <v>112</v>
      </c>
      <c r="N152" s="171"/>
      <c r="O152" s="90"/>
      <c r="P152" s="165" t="s">
        <v>111</v>
      </c>
      <c r="Q152" s="166"/>
      <c r="R152" s="166"/>
      <c r="S152" s="167"/>
      <c r="T152" s="170" t="s">
        <v>112</v>
      </c>
      <c r="U152" s="171"/>
      <c r="V152" s="83"/>
      <c r="W152" s="166"/>
      <c r="X152" s="166"/>
      <c r="Y152" s="166"/>
      <c r="Z152" s="167"/>
      <c r="AA152" s="170" t="s">
        <v>112</v>
      </c>
      <c r="AB152" s="171"/>
      <c r="AC152" s="80"/>
      <c r="AD152" s="37"/>
    </row>
    <row r="153" spans="1:30" ht="15" customHeight="1" x14ac:dyDescent="0.2">
      <c r="A153" s="27"/>
      <c r="B153" s="37"/>
      <c r="C153" s="174"/>
      <c r="D153" s="175"/>
      <c r="E153" s="142"/>
      <c r="F153" s="143"/>
      <c r="G153" s="60"/>
      <c r="H153" s="144"/>
      <c r="I153" s="60" t="s">
        <v>105</v>
      </c>
      <c r="J153" s="60">
        <f t="shared" si="23"/>
        <v>1.0551697530864197E-3</v>
      </c>
      <c r="K153" s="71"/>
      <c r="L153" s="52" t="str">
        <f t="shared" si="22"/>
        <v/>
      </c>
      <c r="M153" s="163" t="s">
        <v>88</v>
      </c>
      <c r="N153" s="164"/>
      <c r="O153" s="164"/>
      <c r="P153" s="142"/>
      <c r="Q153" s="60"/>
      <c r="R153" s="143"/>
      <c r="S153" s="52"/>
      <c r="T153" s="163" t="s">
        <v>88</v>
      </c>
      <c r="U153" s="164"/>
      <c r="V153" s="168"/>
      <c r="W153" s="166" t="s">
        <v>111</v>
      </c>
      <c r="X153" s="166"/>
      <c r="Y153" s="166"/>
      <c r="Z153" s="167"/>
      <c r="AA153" s="163" t="s">
        <v>88</v>
      </c>
      <c r="AB153" s="164"/>
      <c r="AC153" s="169"/>
      <c r="AD153" s="37"/>
    </row>
    <row r="154" spans="1:30" ht="15" customHeight="1" x14ac:dyDescent="0.2">
      <c r="A154" s="27"/>
      <c r="B154" s="37"/>
      <c r="C154" s="174"/>
      <c r="D154" s="175"/>
      <c r="E154" s="142"/>
      <c r="F154" s="143"/>
      <c r="G154" s="60"/>
      <c r="H154" s="144"/>
      <c r="I154" s="60" t="s">
        <v>106</v>
      </c>
      <c r="J154" s="60">
        <f t="shared" si="23"/>
        <v>1.0551697530864197E-3</v>
      </c>
      <c r="K154" s="71"/>
      <c r="L154" s="52" t="str">
        <f t="shared" si="22"/>
        <v/>
      </c>
      <c r="M154" s="163"/>
      <c r="N154" s="164"/>
      <c r="O154" s="164"/>
      <c r="P154" s="165"/>
      <c r="Q154" s="166"/>
      <c r="R154" s="166"/>
      <c r="S154" s="167"/>
      <c r="T154" s="163"/>
      <c r="U154" s="164"/>
      <c r="V154" s="168"/>
      <c r="W154" s="30"/>
      <c r="X154" s="30"/>
      <c r="Y154" s="30"/>
      <c r="Z154" s="30"/>
      <c r="AA154" s="163"/>
      <c r="AB154" s="164"/>
      <c r="AC154" s="169"/>
      <c r="AD154" s="37"/>
    </row>
    <row r="155" spans="1:30" ht="15" customHeight="1" thickBot="1" x14ac:dyDescent="0.25">
      <c r="A155" s="27"/>
      <c r="B155" s="37"/>
      <c r="C155" s="176"/>
      <c r="D155" s="177"/>
      <c r="E155" s="88"/>
      <c r="F155" s="64"/>
      <c r="G155" s="65"/>
      <c r="H155" s="55"/>
      <c r="I155" s="65" t="s">
        <v>107</v>
      </c>
      <c r="J155" s="65">
        <f t="shared" si="23"/>
        <v>1.0551697530864197E-3</v>
      </c>
      <c r="K155" s="73"/>
      <c r="L155" s="56" t="str">
        <f t="shared" si="22"/>
        <v/>
      </c>
      <c r="M155" s="64"/>
      <c r="N155" s="64"/>
      <c r="O155" s="58"/>
      <c r="P155" s="88"/>
      <c r="Q155" s="64"/>
      <c r="R155" s="64"/>
      <c r="S155" s="64"/>
      <c r="T155" s="57"/>
      <c r="U155" s="64"/>
      <c r="V155" s="89"/>
      <c r="W155" s="58"/>
      <c r="X155" s="58"/>
      <c r="Y155" s="58"/>
      <c r="Z155" s="58"/>
      <c r="AA155" s="57"/>
      <c r="AB155" s="64"/>
      <c r="AC155" s="59"/>
      <c r="AD155" s="37"/>
    </row>
    <row r="156" spans="1:30" ht="15" customHeight="1" thickTop="1" x14ac:dyDescent="0.2">
      <c r="A156" s="2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row>
    <row r="157" spans="1:30" ht="15.75" customHeight="1" x14ac:dyDescent="0.2">
      <c r="A157" s="27"/>
      <c r="B157" s="27"/>
      <c r="C157" s="27"/>
      <c r="D157" s="27"/>
      <c r="E157" s="27"/>
      <c r="F157" s="27"/>
      <c r="G157" s="27"/>
      <c r="H157" s="27"/>
      <c r="I157" s="27"/>
      <c r="J157" s="27"/>
      <c r="K157" s="27"/>
      <c r="L157" s="27"/>
      <c r="M157" s="27"/>
      <c r="N157" s="27"/>
      <c r="O157" s="27"/>
      <c r="P157" s="27"/>
      <c r="Q157" s="27"/>
      <c r="R157" s="27"/>
      <c r="S157" s="27"/>
      <c r="T157" s="27"/>
      <c r="U157" s="27"/>
      <c r="V157" s="27"/>
      <c r="W157" s="27"/>
      <c r="X157" s="27"/>
    </row>
    <row r="158" spans="1:30" ht="15" customHeight="1" x14ac:dyDescent="0.2">
      <c r="A158" s="27"/>
      <c r="B158" s="27"/>
      <c r="C158" s="27"/>
      <c r="D158" s="27"/>
      <c r="E158" s="27"/>
      <c r="F158" s="27"/>
      <c r="G158" s="27"/>
      <c r="H158" s="27"/>
      <c r="I158" s="27"/>
      <c r="J158" s="27"/>
      <c r="K158" s="27"/>
      <c r="L158" s="27"/>
      <c r="M158" s="27"/>
      <c r="N158" s="27"/>
      <c r="O158" s="27"/>
      <c r="P158" s="27"/>
      <c r="Q158" s="27"/>
      <c r="R158" s="27"/>
      <c r="S158" s="27"/>
      <c r="T158" s="27"/>
      <c r="U158" s="27"/>
      <c r="V158" s="27"/>
      <c r="W158" s="27"/>
      <c r="X158" s="27"/>
    </row>
    <row r="159" spans="1:30" ht="15" customHeight="1" x14ac:dyDescent="0.2">
      <c r="A159" s="27"/>
      <c r="B159" s="27"/>
      <c r="C159" s="27"/>
      <c r="D159" s="27"/>
      <c r="E159" s="27"/>
      <c r="F159" s="27"/>
      <c r="G159" s="27"/>
      <c r="H159" s="27"/>
      <c r="I159" s="27"/>
      <c r="J159" s="27"/>
      <c r="K159" s="27"/>
      <c r="L159" s="27"/>
      <c r="M159" s="27"/>
      <c r="N159" s="27"/>
      <c r="O159" s="27"/>
      <c r="P159" s="27"/>
      <c r="Q159" s="27"/>
      <c r="R159" s="27"/>
      <c r="S159" s="27"/>
      <c r="T159" s="27"/>
      <c r="U159" s="27"/>
      <c r="V159" s="27"/>
      <c r="W159" s="27"/>
      <c r="X159" s="27"/>
    </row>
    <row r="160" spans="1:30" ht="15" customHeight="1" x14ac:dyDescent="0.2">
      <c r="A160" s="27"/>
      <c r="B160" s="27"/>
      <c r="C160" s="27"/>
      <c r="D160" s="27"/>
      <c r="E160" s="27"/>
      <c r="F160" s="27"/>
      <c r="G160" s="27"/>
      <c r="H160" s="27"/>
      <c r="I160" s="27"/>
      <c r="J160" s="27"/>
      <c r="K160" s="27"/>
      <c r="L160" s="27"/>
      <c r="M160" s="27"/>
      <c r="N160" s="27"/>
      <c r="O160" s="27"/>
      <c r="P160" s="27"/>
      <c r="Q160" s="27"/>
      <c r="R160" s="27"/>
      <c r="S160" s="27"/>
      <c r="T160" s="27"/>
      <c r="U160" s="27"/>
      <c r="V160" s="27"/>
      <c r="W160" s="27"/>
      <c r="X160" s="27"/>
    </row>
    <row r="161" spans="1:24" ht="15" customHeight="1" x14ac:dyDescent="0.2">
      <c r="A161" s="27"/>
      <c r="B161" s="27"/>
      <c r="C161" s="27"/>
      <c r="D161" s="27"/>
      <c r="E161" s="27"/>
      <c r="F161" s="27"/>
      <c r="G161" s="27"/>
      <c r="H161" s="27"/>
      <c r="I161" s="27"/>
      <c r="J161" s="27"/>
      <c r="K161" s="27"/>
      <c r="L161" s="27"/>
      <c r="M161" s="27"/>
      <c r="N161" s="27"/>
      <c r="O161" s="27"/>
      <c r="P161" s="27"/>
      <c r="Q161" s="27"/>
      <c r="R161" s="27"/>
      <c r="S161" s="27"/>
      <c r="T161" s="27"/>
      <c r="U161" s="27"/>
      <c r="V161" s="27"/>
      <c r="W161" s="27"/>
      <c r="X161" s="27"/>
    </row>
    <row r="162" spans="1:24" ht="15" customHeight="1" x14ac:dyDescent="0.2">
      <c r="A162" s="27"/>
      <c r="B162" s="27"/>
      <c r="C162" s="27"/>
      <c r="D162" s="27"/>
      <c r="E162" s="27"/>
      <c r="F162" s="27"/>
      <c r="G162" s="27"/>
      <c r="H162" s="27"/>
      <c r="I162" s="27"/>
      <c r="J162" s="27"/>
      <c r="K162" s="27"/>
      <c r="L162" s="27"/>
      <c r="M162" s="27"/>
      <c r="N162" s="27"/>
      <c r="O162" s="27"/>
      <c r="P162" s="27"/>
      <c r="Q162" s="27"/>
      <c r="R162" s="27"/>
      <c r="S162" s="27"/>
      <c r="T162" s="27"/>
      <c r="U162" s="27"/>
      <c r="V162" s="27"/>
      <c r="W162" s="27"/>
      <c r="X162" s="27"/>
    </row>
    <row r="163" spans="1:24" ht="15" customHeight="1" x14ac:dyDescent="0.2">
      <c r="A163" s="27"/>
      <c r="B163" s="27"/>
      <c r="C163" s="27"/>
      <c r="D163" s="27"/>
      <c r="E163" s="27"/>
      <c r="F163" s="27"/>
      <c r="G163" s="27"/>
      <c r="H163" s="27"/>
      <c r="I163" s="27"/>
      <c r="J163" s="27"/>
      <c r="K163" s="27"/>
      <c r="L163" s="27"/>
      <c r="M163" s="27"/>
      <c r="N163" s="27"/>
      <c r="O163" s="27"/>
      <c r="P163" s="27"/>
      <c r="Q163" s="27"/>
      <c r="R163" s="27"/>
      <c r="S163" s="27"/>
      <c r="T163" s="27"/>
      <c r="U163" s="27"/>
      <c r="V163" s="27"/>
      <c r="W163" s="27"/>
      <c r="X163" s="27"/>
    </row>
    <row r="164" spans="1:24" ht="15.75" customHeight="1" x14ac:dyDescent="0.2">
      <c r="A164" s="27"/>
      <c r="B164" s="27"/>
      <c r="C164" s="27"/>
      <c r="D164" s="27"/>
      <c r="E164" s="27"/>
      <c r="F164" s="27"/>
      <c r="G164" s="27"/>
      <c r="H164" s="27"/>
      <c r="I164" s="27"/>
      <c r="J164" s="27"/>
      <c r="K164" s="27"/>
      <c r="L164" s="27"/>
      <c r="M164" s="27"/>
      <c r="N164" s="27"/>
      <c r="O164" s="27"/>
      <c r="P164" s="27"/>
      <c r="Q164" s="27"/>
      <c r="R164" s="27"/>
      <c r="S164" s="27"/>
      <c r="T164" s="27"/>
      <c r="U164" s="27"/>
      <c r="V164" s="27"/>
      <c r="W164" s="27"/>
      <c r="X164" s="27"/>
    </row>
    <row r="165" spans="1:24" ht="15.75" customHeight="1" x14ac:dyDescent="0.2">
      <c r="A165" s="27"/>
      <c r="B165" s="27"/>
      <c r="C165" s="27"/>
      <c r="D165" s="27"/>
      <c r="E165" s="27"/>
      <c r="F165" s="27"/>
      <c r="G165" s="27"/>
      <c r="H165" s="27"/>
      <c r="I165" s="27"/>
      <c r="J165" s="27"/>
      <c r="K165" s="27"/>
      <c r="L165" s="27"/>
      <c r="M165" s="27"/>
      <c r="N165" s="27"/>
      <c r="O165" s="27"/>
      <c r="P165" s="27"/>
      <c r="Q165" s="27"/>
      <c r="R165" s="27"/>
      <c r="S165" s="27"/>
      <c r="T165" s="27"/>
      <c r="U165" s="27"/>
      <c r="V165" s="27"/>
      <c r="W165" s="27"/>
      <c r="X165" s="27"/>
    </row>
    <row r="166" spans="1:24" ht="15" customHeight="1" x14ac:dyDescent="0.2">
      <c r="A166" s="27"/>
      <c r="B166" s="27"/>
      <c r="C166" s="27"/>
      <c r="D166" s="27"/>
      <c r="E166" s="27"/>
      <c r="F166" s="27"/>
      <c r="G166" s="27"/>
      <c r="H166" s="27"/>
      <c r="I166" s="27"/>
      <c r="J166" s="27"/>
      <c r="K166" s="27"/>
      <c r="L166" s="27"/>
      <c r="M166" s="27"/>
      <c r="N166" s="27"/>
      <c r="O166" s="27"/>
      <c r="P166" s="27"/>
      <c r="Q166" s="27"/>
      <c r="R166" s="27"/>
      <c r="S166" s="27"/>
      <c r="T166" s="27"/>
      <c r="U166" s="27"/>
      <c r="V166" s="27"/>
      <c r="W166" s="27"/>
      <c r="X166" s="27"/>
    </row>
    <row r="167" spans="1:24" ht="15" customHeight="1" x14ac:dyDescent="0.2">
      <c r="A167" s="27"/>
      <c r="B167" s="27"/>
      <c r="C167" s="27"/>
      <c r="D167" s="27"/>
      <c r="E167" s="27"/>
      <c r="F167" s="27"/>
      <c r="G167" s="27"/>
      <c r="H167" s="27"/>
      <c r="I167" s="27"/>
      <c r="J167" s="27"/>
      <c r="K167" s="27"/>
      <c r="L167" s="27"/>
      <c r="M167" s="27"/>
      <c r="N167" s="27"/>
      <c r="O167" s="27"/>
      <c r="P167" s="27"/>
      <c r="Q167" s="27"/>
      <c r="R167" s="27"/>
      <c r="S167" s="27"/>
      <c r="T167" s="27"/>
      <c r="U167" s="27"/>
      <c r="V167" s="27"/>
      <c r="W167" s="27"/>
      <c r="X167" s="27"/>
    </row>
    <row r="168" spans="1:24" ht="15" customHeight="1" x14ac:dyDescent="0.2">
      <c r="A168" s="27"/>
      <c r="B168" s="27"/>
      <c r="C168" s="27"/>
      <c r="D168" s="27"/>
      <c r="E168" s="27"/>
      <c r="F168" s="27"/>
      <c r="G168" s="27"/>
      <c r="H168" s="27"/>
      <c r="I168" s="27"/>
      <c r="J168" s="27"/>
      <c r="K168" s="27"/>
      <c r="L168" s="27"/>
      <c r="M168" s="27"/>
      <c r="N168" s="27"/>
      <c r="O168" s="27"/>
      <c r="P168" s="27"/>
      <c r="Q168" s="27"/>
      <c r="R168" s="27"/>
      <c r="S168" s="27"/>
      <c r="T168" s="27"/>
      <c r="U168" s="27"/>
      <c r="V168" s="27"/>
      <c r="W168" s="27"/>
      <c r="X168" s="27"/>
    </row>
    <row r="169" spans="1:24" ht="15" customHeight="1" x14ac:dyDescent="0.2">
      <c r="A169" s="27"/>
      <c r="B169" s="27"/>
      <c r="C169" s="27"/>
      <c r="D169" s="27"/>
      <c r="E169" s="27"/>
      <c r="F169" s="27"/>
      <c r="G169" s="27"/>
      <c r="H169" s="27"/>
      <c r="I169" s="27"/>
      <c r="J169" s="27"/>
      <c r="K169" s="27"/>
      <c r="L169" s="27"/>
      <c r="M169" s="27"/>
      <c r="N169" s="27"/>
      <c r="O169" s="27"/>
      <c r="P169" s="27"/>
      <c r="Q169" s="27"/>
      <c r="R169" s="27"/>
      <c r="S169" s="27"/>
      <c r="T169" s="27"/>
      <c r="U169" s="27"/>
      <c r="V169" s="27"/>
      <c r="W169" s="27"/>
      <c r="X169" s="27"/>
    </row>
    <row r="170" spans="1:24" ht="15" customHeight="1" x14ac:dyDescent="0.2">
      <c r="A170" s="27"/>
      <c r="B170" s="27"/>
      <c r="C170" s="27"/>
      <c r="D170" s="27"/>
      <c r="E170" s="27"/>
      <c r="F170" s="27"/>
      <c r="G170" s="27"/>
      <c r="H170" s="27"/>
      <c r="I170" s="27"/>
      <c r="J170" s="27"/>
      <c r="K170" s="27"/>
      <c r="L170" s="27"/>
      <c r="M170" s="27"/>
      <c r="N170" s="27"/>
      <c r="O170" s="27"/>
      <c r="P170" s="27"/>
      <c r="Q170" s="27"/>
      <c r="R170" s="27"/>
      <c r="S170" s="27"/>
      <c r="T170" s="27"/>
      <c r="U170" s="27"/>
      <c r="V170" s="27"/>
      <c r="W170" s="27"/>
      <c r="X170" s="27"/>
    </row>
    <row r="171" spans="1:24" ht="15" customHeight="1" x14ac:dyDescent="0.2">
      <c r="A171" s="27"/>
      <c r="B171" s="27"/>
      <c r="C171" s="27"/>
      <c r="D171" s="27"/>
      <c r="E171" s="27"/>
      <c r="F171" s="27"/>
      <c r="G171" s="27"/>
      <c r="H171" s="27"/>
      <c r="I171" s="27"/>
      <c r="J171" s="27"/>
      <c r="K171" s="27"/>
      <c r="L171" s="27"/>
      <c r="M171" s="27"/>
      <c r="N171" s="27"/>
      <c r="O171" s="27"/>
      <c r="P171" s="27"/>
      <c r="Q171" s="27"/>
      <c r="R171" s="27"/>
      <c r="S171" s="27"/>
      <c r="T171" s="27"/>
      <c r="U171" s="27"/>
      <c r="V171" s="27"/>
      <c r="W171" s="27"/>
      <c r="X171" s="27"/>
    </row>
    <row r="172" spans="1:24" ht="15" customHeight="1" x14ac:dyDescent="0.2">
      <c r="A172" s="27"/>
      <c r="B172" s="27"/>
      <c r="C172" s="27"/>
      <c r="D172" s="27"/>
      <c r="E172" s="27"/>
      <c r="F172" s="27"/>
      <c r="G172" s="27"/>
      <c r="H172" s="27"/>
      <c r="I172" s="27"/>
      <c r="J172" s="27"/>
      <c r="K172" s="27"/>
      <c r="L172" s="27"/>
      <c r="M172" s="27"/>
      <c r="N172" s="27"/>
      <c r="O172" s="27"/>
      <c r="P172" s="27"/>
      <c r="Q172" s="27"/>
      <c r="R172" s="27"/>
      <c r="S172" s="27"/>
      <c r="T172" s="27"/>
      <c r="U172" s="27"/>
      <c r="V172" s="27"/>
      <c r="W172" s="27"/>
      <c r="X172" s="27"/>
    </row>
    <row r="173" spans="1:24" ht="15" customHeight="1" x14ac:dyDescent="0.2">
      <c r="A173" s="27"/>
      <c r="B173" s="27"/>
      <c r="C173" s="27"/>
      <c r="D173" s="27"/>
      <c r="E173" s="27"/>
      <c r="F173" s="27"/>
      <c r="G173" s="27"/>
      <c r="H173" s="27"/>
      <c r="I173" s="27"/>
      <c r="J173" s="27"/>
      <c r="K173" s="27"/>
      <c r="L173" s="27"/>
      <c r="M173" s="27"/>
      <c r="N173" s="27"/>
      <c r="O173" s="27"/>
      <c r="P173" s="27"/>
      <c r="Q173" s="27"/>
      <c r="R173" s="27"/>
      <c r="S173" s="27"/>
      <c r="T173" s="27"/>
      <c r="U173" s="27"/>
      <c r="V173" s="27"/>
      <c r="W173" s="27"/>
      <c r="X173" s="27"/>
    </row>
    <row r="174" spans="1:24" ht="15" customHeight="1" x14ac:dyDescent="0.2">
      <c r="A174" s="27"/>
      <c r="B174" s="27"/>
      <c r="C174" s="27"/>
      <c r="D174" s="27"/>
      <c r="E174" s="27"/>
      <c r="F174" s="27"/>
      <c r="G174" s="27"/>
      <c r="H174" s="27"/>
      <c r="I174" s="27"/>
      <c r="J174" s="27"/>
      <c r="K174" s="27"/>
      <c r="L174" s="27"/>
      <c r="M174" s="27"/>
      <c r="N174" s="27"/>
      <c r="O174" s="27"/>
      <c r="P174" s="27"/>
      <c r="Q174" s="27"/>
      <c r="R174" s="27"/>
      <c r="S174" s="27"/>
      <c r="T174" s="27"/>
      <c r="U174" s="27"/>
      <c r="V174" s="27"/>
      <c r="W174" s="27"/>
      <c r="X174" s="27"/>
    </row>
    <row r="175" spans="1:24" ht="15.75" customHeight="1" x14ac:dyDescent="0.2">
      <c r="A175" s="27"/>
      <c r="B175" s="27"/>
      <c r="C175" s="27"/>
      <c r="D175" s="27"/>
      <c r="E175" s="27"/>
      <c r="F175" s="27"/>
      <c r="G175" s="27"/>
      <c r="H175" s="27"/>
      <c r="I175" s="27"/>
      <c r="J175" s="27"/>
      <c r="K175" s="27"/>
      <c r="L175" s="27"/>
      <c r="M175" s="27"/>
      <c r="N175" s="27"/>
      <c r="O175" s="27"/>
      <c r="P175" s="27"/>
      <c r="Q175" s="27"/>
      <c r="R175" s="27"/>
      <c r="S175" s="27"/>
      <c r="T175" s="27"/>
      <c r="U175" s="27"/>
      <c r="V175" s="27"/>
      <c r="W175" s="27"/>
      <c r="X175" s="27"/>
    </row>
    <row r="176" spans="1:24" ht="15.75" customHeight="1" x14ac:dyDescent="0.2">
      <c r="A176" s="27"/>
      <c r="B176" s="27"/>
      <c r="C176" s="27"/>
      <c r="D176" s="27"/>
      <c r="E176" s="27"/>
      <c r="F176" s="27"/>
      <c r="G176" s="27"/>
      <c r="H176" s="27"/>
      <c r="I176" s="27"/>
      <c r="J176" s="27"/>
      <c r="K176" s="27"/>
      <c r="L176" s="27"/>
      <c r="M176" s="27"/>
      <c r="N176" s="27"/>
      <c r="O176" s="27"/>
      <c r="P176" s="27"/>
      <c r="Q176" s="27"/>
      <c r="R176" s="27"/>
      <c r="S176" s="27"/>
      <c r="T176" s="27"/>
      <c r="U176" s="27"/>
      <c r="V176" s="27"/>
      <c r="W176" s="27"/>
      <c r="X176" s="27"/>
    </row>
    <row r="177" spans="1:24" ht="15" customHeight="1" x14ac:dyDescent="0.2">
      <c r="A177" s="27"/>
      <c r="B177" s="27"/>
      <c r="C177" s="27"/>
      <c r="D177" s="27"/>
      <c r="E177" s="27"/>
      <c r="F177" s="27"/>
      <c r="G177" s="27"/>
      <c r="H177" s="27"/>
      <c r="I177" s="27"/>
      <c r="J177" s="27"/>
      <c r="K177" s="27"/>
      <c r="L177" s="27"/>
      <c r="M177" s="27"/>
      <c r="N177" s="27"/>
      <c r="O177" s="27"/>
      <c r="P177" s="27"/>
      <c r="Q177" s="27"/>
      <c r="R177" s="27"/>
      <c r="S177" s="27"/>
      <c r="T177" s="27"/>
      <c r="U177" s="27"/>
      <c r="V177" s="27"/>
      <c r="W177" s="27"/>
      <c r="X177" s="27"/>
    </row>
    <row r="178" spans="1:24" ht="15" customHeight="1" x14ac:dyDescent="0.2">
      <c r="A178" s="27"/>
      <c r="B178" s="27"/>
      <c r="C178" s="27"/>
      <c r="D178" s="27"/>
      <c r="E178" s="27"/>
      <c r="F178" s="27"/>
      <c r="G178" s="27"/>
      <c r="H178" s="27"/>
      <c r="I178" s="27"/>
      <c r="J178" s="27"/>
      <c r="K178" s="27"/>
      <c r="L178" s="27"/>
      <c r="M178" s="27"/>
      <c r="N178" s="27"/>
      <c r="O178" s="27"/>
      <c r="P178" s="27"/>
      <c r="Q178" s="27"/>
      <c r="R178" s="27"/>
      <c r="S178" s="27"/>
      <c r="T178" s="27"/>
      <c r="U178" s="27"/>
      <c r="V178" s="27"/>
      <c r="W178" s="27"/>
      <c r="X178" s="27"/>
    </row>
    <row r="179" spans="1:24" ht="15" customHeight="1" x14ac:dyDescent="0.2">
      <c r="A179" s="27"/>
      <c r="B179" s="27"/>
      <c r="C179" s="27"/>
      <c r="D179" s="27"/>
      <c r="E179" s="27"/>
      <c r="F179" s="27"/>
      <c r="G179" s="27"/>
      <c r="H179" s="27"/>
      <c r="I179" s="27"/>
      <c r="J179" s="27"/>
      <c r="K179" s="27"/>
      <c r="L179" s="27"/>
      <c r="M179" s="27"/>
      <c r="N179" s="27"/>
      <c r="O179" s="27"/>
      <c r="P179" s="27"/>
      <c r="Q179" s="27"/>
      <c r="R179" s="27"/>
      <c r="S179" s="27"/>
      <c r="T179" s="27"/>
      <c r="U179" s="27"/>
      <c r="V179" s="27"/>
      <c r="W179" s="27"/>
      <c r="X179" s="27"/>
    </row>
    <row r="180" spans="1:24" ht="15" customHeight="1" x14ac:dyDescent="0.2">
      <c r="A180" s="27"/>
      <c r="B180" s="27"/>
      <c r="C180" s="27"/>
      <c r="D180" s="27"/>
      <c r="E180" s="27"/>
      <c r="F180" s="27"/>
      <c r="G180" s="27"/>
      <c r="H180" s="27"/>
      <c r="I180" s="27"/>
      <c r="J180" s="27"/>
      <c r="K180" s="27"/>
      <c r="L180" s="27"/>
      <c r="M180" s="27"/>
      <c r="N180" s="27"/>
      <c r="O180" s="27"/>
      <c r="P180" s="27"/>
      <c r="Q180" s="27"/>
      <c r="R180" s="27"/>
      <c r="S180" s="27"/>
      <c r="T180" s="27"/>
      <c r="U180" s="27"/>
      <c r="V180" s="27"/>
      <c r="W180" s="27"/>
      <c r="X180" s="27"/>
    </row>
    <row r="181" spans="1:24" ht="15" customHeight="1" x14ac:dyDescent="0.2">
      <c r="A181" s="27"/>
      <c r="B181" s="27"/>
      <c r="C181" s="27"/>
      <c r="D181" s="27"/>
      <c r="E181" s="27"/>
      <c r="F181" s="27"/>
      <c r="G181" s="27"/>
      <c r="H181" s="27"/>
      <c r="I181" s="27"/>
      <c r="J181" s="27"/>
      <c r="K181" s="27"/>
      <c r="L181" s="27"/>
      <c r="M181" s="27"/>
      <c r="N181" s="27"/>
      <c r="O181" s="27"/>
      <c r="P181" s="27"/>
      <c r="Q181" s="27"/>
      <c r="R181" s="27"/>
      <c r="S181" s="27"/>
      <c r="T181" s="27"/>
      <c r="U181" s="27"/>
      <c r="V181" s="27"/>
      <c r="W181" s="27"/>
      <c r="X181" s="27"/>
    </row>
    <row r="182" spans="1:24" ht="15" customHeight="1" x14ac:dyDescent="0.2">
      <c r="A182" s="27"/>
      <c r="B182" s="27"/>
      <c r="C182" s="27"/>
      <c r="D182" s="27"/>
      <c r="E182" s="27"/>
      <c r="F182" s="27"/>
      <c r="G182" s="27"/>
      <c r="H182" s="27"/>
      <c r="I182" s="27"/>
      <c r="J182" s="27"/>
      <c r="K182" s="27"/>
      <c r="L182" s="27"/>
      <c r="M182" s="27"/>
      <c r="N182" s="27"/>
      <c r="O182" s="27"/>
      <c r="P182" s="27"/>
      <c r="Q182" s="27"/>
      <c r="R182" s="27"/>
      <c r="S182" s="27"/>
      <c r="T182" s="27"/>
      <c r="U182" s="27"/>
      <c r="V182" s="27"/>
      <c r="W182" s="27"/>
      <c r="X182" s="27"/>
    </row>
    <row r="183" spans="1:24" ht="15.75" customHeight="1" x14ac:dyDescent="0.2">
      <c r="A183" s="27"/>
      <c r="B183" s="27"/>
      <c r="C183" s="27"/>
      <c r="D183" s="27"/>
      <c r="E183" s="27"/>
      <c r="F183" s="27"/>
      <c r="G183" s="27"/>
      <c r="H183" s="27"/>
      <c r="I183" s="27"/>
      <c r="J183" s="27"/>
      <c r="K183" s="27"/>
      <c r="L183" s="27"/>
      <c r="M183" s="27"/>
      <c r="N183" s="27"/>
      <c r="O183" s="27"/>
      <c r="P183" s="27"/>
      <c r="Q183" s="27"/>
      <c r="R183" s="27"/>
      <c r="S183" s="27"/>
      <c r="T183" s="27"/>
      <c r="U183" s="27"/>
      <c r="V183" s="27"/>
      <c r="W183" s="27"/>
      <c r="X183" s="27"/>
    </row>
    <row r="184" spans="1:24" ht="15.75" customHeight="1" x14ac:dyDescent="0.2">
      <c r="A184" s="27"/>
      <c r="B184" s="27"/>
      <c r="C184" s="27"/>
      <c r="D184" s="27"/>
      <c r="E184" s="27"/>
      <c r="F184" s="27"/>
      <c r="G184" s="27"/>
      <c r="H184" s="27"/>
      <c r="I184" s="27"/>
      <c r="J184" s="27"/>
      <c r="K184" s="27"/>
      <c r="L184" s="27"/>
      <c r="M184" s="27"/>
      <c r="N184" s="27"/>
      <c r="O184" s="27"/>
      <c r="P184" s="27"/>
      <c r="Q184" s="27"/>
      <c r="R184" s="27"/>
      <c r="S184" s="27"/>
      <c r="T184" s="27"/>
      <c r="U184" s="27"/>
      <c r="V184" s="27"/>
      <c r="W184" s="27"/>
      <c r="X184" s="27"/>
    </row>
    <row r="185" spans="1:24" ht="15" customHeight="1" x14ac:dyDescent="0.2">
      <c r="A185" s="27"/>
      <c r="B185" s="27"/>
      <c r="C185" s="27"/>
      <c r="D185" s="27"/>
      <c r="E185" s="27"/>
      <c r="F185" s="27"/>
      <c r="G185" s="27"/>
      <c r="H185" s="27"/>
      <c r="I185" s="27"/>
      <c r="J185" s="27"/>
      <c r="K185" s="27"/>
      <c r="L185" s="27"/>
      <c r="M185" s="27"/>
      <c r="N185" s="27"/>
      <c r="O185" s="27"/>
      <c r="P185" s="27"/>
      <c r="Q185" s="27"/>
      <c r="R185" s="27"/>
      <c r="S185" s="27"/>
      <c r="T185" s="27"/>
      <c r="U185" s="27"/>
      <c r="V185" s="27"/>
      <c r="W185" s="27"/>
      <c r="X185" s="27"/>
    </row>
    <row r="186" spans="1:24" ht="15" customHeight="1" x14ac:dyDescent="0.2">
      <c r="A186" s="27"/>
      <c r="B186" s="27"/>
      <c r="C186" s="27"/>
      <c r="D186" s="27"/>
      <c r="E186" s="27"/>
      <c r="F186" s="27"/>
      <c r="G186" s="27"/>
      <c r="H186" s="27"/>
      <c r="I186" s="27"/>
      <c r="J186" s="27"/>
      <c r="K186" s="27"/>
      <c r="L186" s="27"/>
      <c r="M186" s="27"/>
      <c r="N186" s="27"/>
      <c r="O186" s="27"/>
      <c r="P186" s="27"/>
      <c r="Q186" s="27"/>
      <c r="R186" s="27"/>
      <c r="S186" s="27"/>
      <c r="T186" s="27"/>
      <c r="U186" s="27"/>
      <c r="V186" s="27"/>
      <c r="W186" s="27"/>
      <c r="X186" s="27"/>
    </row>
    <row r="187" spans="1:24" ht="15" customHeight="1" x14ac:dyDescent="0.2">
      <c r="A187" s="27"/>
      <c r="B187" s="27"/>
      <c r="C187" s="27"/>
      <c r="D187" s="27"/>
      <c r="E187" s="27"/>
      <c r="F187" s="27"/>
      <c r="G187" s="27"/>
      <c r="H187" s="27"/>
      <c r="I187" s="27"/>
      <c r="J187" s="27"/>
      <c r="K187" s="27"/>
      <c r="L187" s="27"/>
      <c r="M187" s="27"/>
      <c r="N187" s="27"/>
      <c r="O187" s="27"/>
      <c r="P187" s="27"/>
      <c r="Q187" s="27"/>
      <c r="R187" s="27"/>
      <c r="S187" s="27"/>
      <c r="T187" s="27"/>
      <c r="U187" s="27"/>
      <c r="V187" s="27"/>
      <c r="W187" s="27"/>
      <c r="X187" s="27"/>
    </row>
    <row r="188" spans="1:24" ht="15" customHeight="1" x14ac:dyDescent="0.2">
      <c r="A188" s="27"/>
      <c r="B188" s="27"/>
      <c r="C188" s="27"/>
      <c r="D188" s="27"/>
      <c r="E188" s="27"/>
      <c r="F188" s="27"/>
      <c r="G188" s="27"/>
      <c r="H188" s="27"/>
      <c r="I188" s="27"/>
      <c r="J188" s="27"/>
      <c r="K188" s="27"/>
      <c r="L188" s="27"/>
      <c r="M188" s="27"/>
      <c r="N188" s="27"/>
      <c r="O188" s="27"/>
      <c r="P188" s="27"/>
      <c r="Q188" s="27"/>
      <c r="R188" s="27"/>
      <c r="S188" s="27"/>
      <c r="T188" s="27"/>
      <c r="U188" s="27"/>
      <c r="V188" s="27"/>
      <c r="W188" s="27"/>
      <c r="X188" s="27"/>
    </row>
    <row r="189" spans="1:24" ht="15" customHeight="1" x14ac:dyDescent="0.2">
      <c r="A189" s="27"/>
      <c r="B189" s="27"/>
      <c r="C189" s="27"/>
      <c r="D189" s="27"/>
      <c r="E189" s="27"/>
      <c r="F189" s="27"/>
      <c r="G189" s="27"/>
      <c r="H189" s="27"/>
      <c r="I189" s="27"/>
      <c r="J189" s="27"/>
      <c r="K189" s="27"/>
      <c r="L189" s="27"/>
      <c r="M189" s="27"/>
      <c r="N189" s="27"/>
      <c r="O189" s="27"/>
      <c r="P189" s="27"/>
      <c r="Q189" s="27"/>
      <c r="R189" s="27"/>
      <c r="S189" s="27"/>
      <c r="T189" s="27"/>
      <c r="U189" s="27"/>
      <c r="V189" s="27"/>
      <c r="W189" s="27"/>
      <c r="X189" s="27"/>
    </row>
    <row r="190" spans="1:24" ht="15" customHeight="1" x14ac:dyDescent="0.2">
      <c r="A190" s="27"/>
      <c r="B190" s="27"/>
      <c r="C190" s="27"/>
      <c r="D190" s="27"/>
      <c r="E190" s="27"/>
      <c r="F190" s="27"/>
      <c r="G190" s="27"/>
      <c r="H190" s="27"/>
      <c r="I190" s="27"/>
      <c r="J190" s="27"/>
      <c r="K190" s="27"/>
      <c r="L190" s="27"/>
      <c r="M190" s="27"/>
      <c r="N190" s="27"/>
      <c r="O190" s="27"/>
      <c r="P190" s="27"/>
      <c r="Q190" s="27"/>
      <c r="R190" s="27"/>
      <c r="S190" s="27"/>
      <c r="T190" s="27"/>
      <c r="U190" s="27"/>
      <c r="V190" s="27"/>
      <c r="W190" s="27"/>
      <c r="X190" s="27"/>
    </row>
    <row r="191" spans="1:24" ht="15" customHeight="1" x14ac:dyDescent="0.2">
      <c r="A191" s="27"/>
      <c r="B191" s="27"/>
      <c r="C191" s="27"/>
      <c r="D191" s="27"/>
      <c r="E191" s="27"/>
      <c r="F191" s="27"/>
      <c r="G191" s="27"/>
      <c r="H191" s="27"/>
      <c r="I191" s="27"/>
      <c r="J191" s="27"/>
      <c r="K191" s="27"/>
      <c r="L191" s="27"/>
      <c r="M191" s="27"/>
      <c r="N191" s="27"/>
      <c r="O191" s="27"/>
      <c r="P191" s="27"/>
      <c r="Q191" s="27"/>
      <c r="R191" s="27"/>
      <c r="S191" s="27"/>
      <c r="T191" s="27"/>
      <c r="U191" s="27"/>
      <c r="V191" s="27"/>
      <c r="W191" s="27"/>
      <c r="X191" s="27"/>
    </row>
    <row r="192" spans="1:24" ht="15.75" customHeight="1" x14ac:dyDescent="0.2">
      <c r="A192" s="27"/>
      <c r="B192" s="27"/>
      <c r="C192" s="27"/>
      <c r="D192" s="27"/>
      <c r="E192" s="27"/>
      <c r="F192" s="27"/>
      <c r="G192" s="27"/>
      <c r="H192" s="27"/>
      <c r="I192" s="27"/>
      <c r="J192" s="27"/>
      <c r="K192" s="27"/>
      <c r="L192" s="27"/>
      <c r="M192" s="27"/>
      <c r="N192" s="27"/>
      <c r="O192" s="27"/>
      <c r="P192" s="27"/>
      <c r="Q192" s="27"/>
      <c r="R192" s="27"/>
      <c r="S192" s="27"/>
      <c r="T192" s="27"/>
      <c r="U192" s="27"/>
      <c r="V192" s="27"/>
      <c r="W192" s="27"/>
      <c r="X192" s="27"/>
    </row>
    <row r="193" spans="1:24" ht="15.75" customHeight="1" x14ac:dyDescent="0.2">
      <c r="A193" s="27"/>
      <c r="B193" s="27"/>
      <c r="C193" s="27"/>
      <c r="D193" s="27"/>
      <c r="E193" s="27"/>
      <c r="F193" s="27"/>
      <c r="G193" s="27"/>
      <c r="H193" s="27"/>
      <c r="I193" s="27"/>
      <c r="J193" s="27"/>
      <c r="K193" s="27"/>
      <c r="L193" s="27"/>
      <c r="M193" s="27"/>
      <c r="N193" s="27"/>
      <c r="O193" s="27"/>
      <c r="P193" s="27"/>
      <c r="Q193" s="27"/>
      <c r="R193" s="27"/>
      <c r="S193" s="27"/>
      <c r="T193" s="27"/>
      <c r="U193" s="27"/>
      <c r="V193" s="27"/>
      <c r="W193" s="27"/>
      <c r="X193" s="27"/>
    </row>
    <row r="194" spans="1:24" ht="15" customHeight="1" x14ac:dyDescent="0.2">
      <c r="A194" s="27"/>
      <c r="B194" s="27"/>
      <c r="C194" s="27"/>
      <c r="D194" s="27"/>
      <c r="E194" s="27"/>
      <c r="F194" s="27"/>
      <c r="G194" s="27"/>
      <c r="H194" s="27"/>
      <c r="I194" s="27"/>
      <c r="J194" s="27"/>
      <c r="K194" s="27"/>
      <c r="L194" s="27"/>
      <c r="M194" s="27"/>
      <c r="N194" s="27"/>
      <c r="O194" s="27"/>
      <c r="P194" s="27"/>
      <c r="Q194" s="27"/>
      <c r="R194" s="27"/>
      <c r="S194" s="27"/>
      <c r="T194" s="27"/>
      <c r="U194" s="27"/>
      <c r="V194" s="27"/>
      <c r="W194" s="27"/>
      <c r="X194" s="27"/>
    </row>
    <row r="195" spans="1:24" ht="15" customHeight="1" x14ac:dyDescent="0.2">
      <c r="A195" s="27"/>
      <c r="B195" s="27"/>
      <c r="C195" s="27"/>
      <c r="D195" s="27"/>
      <c r="E195" s="27"/>
      <c r="F195" s="27"/>
      <c r="G195" s="27"/>
      <c r="H195" s="27"/>
      <c r="I195" s="27"/>
      <c r="J195" s="27"/>
      <c r="K195" s="27"/>
      <c r="L195" s="27"/>
      <c r="M195" s="27"/>
      <c r="N195" s="27"/>
      <c r="O195" s="27"/>
      <c r="P195" s="27"/>
      <c r="Q195" s="27"/>
      <c r="R195" s="27"/>
      <c r="S195" s="27"/>
      <c r="T195" s="27"/>
      <c r="U195" s="27"/>
      <c r="V195" s="27"/>
      <c r="W195" s="27"/>
      <c r="X195" s="27"/>
    </row>
    <row r="196" spans="1:24" ht="15" customHeight="1" x14ac:dyDescent="0.2">
      <c r="A196" s="27"/>
      <c r="B196" s="27"/>
      <c r="C196" s="27"/>
      <c r="D196" s="27"/>
      <c r="E196" s="27"/>
      <c r="F196" s="27"/>
      <c r="G196" s="27"/>
      <c r="H196" s="27"/>
      <c r="I196" s="27"/>
      <c r="J196" s="27"/>
      <c r="K196" s="27"/>
      <c r="L196" s="27"/>
      <c r="M196" s="27"/>
      <c r="N196" s="27"/>
      <c r="O196" s="27"/>
      <c r="P196" s="27"/>
      <c r="Q196" s="27"/>
      <c r="R196" s="27"/>
      <c r="S196" s="27"/>
      <c r="T196" s="27"/>
      <c r="U196" s="27"/>
      <c r="V196" s="27"/>
      <c r="W196" s="27"/>
      <c r="X196" s="27"/>
    </row>
    <row r="197" spans="1:24" ht="15" customHeight="1" x14ac:dyDescent="0.2">
      <c r="A197" s="27"/>
      <c r="B197" s="27"/>
      <c r="C197" s="27"/>
      <c r="D197" s="27"/>
      <c r="E197" s="27"/>
      <c r="F197" s="27"/>
      <c r="G197" s="27"/>
      <c r="H197" s="27"/>
      <c r="I197" s="27"/>
      <c r="J197" s="27"/>
      <c r="K197" s="27"/>
      <c r="L197" s="27"/>
      <c r="M197" s="27"/>
      <c r="N197" s="27"/>
      <c r="O197" s="27"/>
      <c r="P197" s="27"/>
      <c r="Q197" s="27"/>
      <c r="R197" s="27"/>
      <c r="S197" s="27"/>
      <c r="T197" s="27"/>
      <c r="U197" s="27"/>
      <c r="V197" s="27"/>
      <c r="W197" s="27"/>
      <c r="X197" s="27"/>
    </row>
    <row r="198" spans="1:24" ht="15" customHeight="1" x14ac:dyDescent="0.2">
      <c r="A198" s="27"/>
      <c r="B198" s="27"/>
      <c r="C198" s="27"/>
      <c r="D198" s="27"/>
      <c r="E198" s="27"/>
      <c r="F198" s="27"/>
      <c r="G198" s="27"/>
      <c r="H198" s="27"/>
      <c r="I198" s="27"/>
      <c r="J198" s="27"/>
      <c r="K198" s="27"/>
      <c r="L198" s="27"/>
      <c r="M198" s="27"/>
      <c r="N198" s="27"/>
      <c r="O198" s="27"/>
      <c r="P198" s="27"/>
      <c r="Q198" s="27"/>
      <c r="R198" s="27"/>
      <c r="S198" s="27"/>
      <c r="T198" s="27"/>
      <c r="U198" s="27"/>
      <c r="V198" s="27"/>
      <c r="W198" s="27"/>
      <c r="X198" s="27"/>
    </row>
    <row r="199" spans="1:24" ht="15" customHeight="1" x14ac:dyDescent="0.2">
      <c r="A199" s="27"/>
      <c r="B199" s="27"/>
      <c r="C199" s="27"/>
      <c r="D199" s="27"/>
      <c r="E199" s="27"/>
      <c r="F199" s="27"/>
      <c r="G199" s="27"/>
      <c r="H199" s="27"/>
      <c r="I199" s="27"/>
      <c r="J199" s="27"/>
      <c r="K199" s="27"/>
      <c r="L199" s="27"/>
      <c r="M199" s="27"/>
      <c r="N199" s="27"/>
      <c r="O199" s="27"/>
      <c r="P199" s="27"/>
      <c r="Q199" s="27"/>
      <c r="R199" s="27"/>
      <c r="S199" s="27"/>
      <c r="T199" s="27"/>
      <c r="U199" s="27"/>
      <c r="V199" s="27"/>
      <c r="W199" s="27"/>
      <c r="X199" s="27"/>
    </row>
    <row r="200" spans="1:24" ht="15" customHeight="1" x14ac:dyDescent="0.2">
      <c r="A200" s="27"/>
      <c r="B200" s="27"/>
      <c r="C200" s="27"/>
      <c r="D200" s="27"/>
      <c r="E200" s="27"/>
      <c r="F200" s="27"/>
      <c r="G200" s="27"/>
      <c r="H200" s="27"/>
      <c r="I200" s="27"/>
      <c r="J200" s="27"/>
      <c r="K200" s="27"/>
      <c r="L200" s="27"/>
      <c r="M200" s="27"/>
      <c r="N200" s="27"/>
      <c r="O200" s="27"/>
      <c r="P200" s="27"/>
      <c r="Q200" s="27"/>
      <c r="R200" s="27"/>
      <c r="S200" s="27"/>
      <c r="T200" s="27"/>
      <c r="U200" s="27"/>
      <c r="V200" s="27"/>
      <c r="W200" s="27"/>
      <c r="X200" s="27"/>
    </row>
    <row r="201" spans="1:24" ht="15.75" customHeight="1" x14ac:dyDescent="0.2">
      <c r="A201" s="27"/>
      <c r="B201" s="27"/>
      <c r="C201" s="27"/>
      <c r="D201" s="27"/>
      <c r="E201" s="27"/>
      <c r="F201" s="27"/>
      <c r="G201" s="27"/>
      <c r="H201" s="27"/>
      <c r="I201" s="27"/>
      <c r="J201" s="27"/>
      <c r="K201" s="27"/>
      <c r="L201" s="27"/>
      <c r="M201" s="27"/>
      <c r="N201" s="27"/>
      <c r="O201" s="27"/>
      <c r="P201" s="27"/>
      <c r="Q201" s="27"/>
      <c r="R201" s="27"/>
      <c r="S201" s="27"/>
      <c r="T201" s="27"/>
      <c r="U201" s="27"/>
      <c r="V201" s="27"/>
      <c r="W201" s="27"/>
      <c r="X201" s="27"/>
    </row>
    <row r="202" spans="1:24" x14ac:dyDescent="0.2">
      <c r="A202" s="27"/>
      <c r="B202" s="27"/>
      <c r="C202" s="27"/>
      <c r="D202" s="27"/>
      <c r="E202" s="27"/>
      <c r="F202" s="27"/>
      <c r="G202" s="27"/>
      <c r="H202" s="27"/>
      <c r="I202" s="27"/>
      <c r="J202" s="27"/>
      <c r="K202" s="27"/>
      <c r="L202" s="27"/>
      <c r="M202" s="27"/>
      <c r="N202" s="27"/>
      <c r="O202" s="27"/>
      <c r="P202" s="27"/>
      <c r="Q202" s="27"/>
      <c r="R202" s="27"/>
      <c r="S202" s="27"/>
      <c r="T202" s="27"/>
      <c r="U202" s="27"/>
      <c r="V202" s="27"/>
      <c r="W202" s="27"/>
      <c r="X202" s="27"/>
    </row>
    <row r="203" spans="1:24" x14ac:dyDescent="0.2">
      <c r="A203" s="27"/>
      <c r="B203" s="27"/>
      <c r="C203" s="27"/>
      <c r="D203" s="27"/>
      <c r="E203" s="27"/>
      <c r="F203" s="27"/>
      <c r="G203" s="27"/>
      <c r="H203" s="27"/>
      <c r="I203" s="27"/>
      <c r="J203" s="27"/>
      <c r="K203" s="27"/>
      <c r="L203" s="27"/>
      <c r="M203" s="27"/>
      <c r="N203" s="27"/>
      <c r="O203" s="27"/>
      <c r="P203" s="27"/>
      <c r="Q203" s="27"/>
      <c r="R203" s="27"/>
      <c r="S203" s="27"/>
      <c r="T203" s="27"/>
      <c r="U203" s="27"/>
      <c r="V203" s="27"/>
      <c r="W203" s="27"/>
      <c r="X203" s="27"/>
    </row>
    <row r="204" spans="1:24" x14ac:dyDescent="0.2">
      <c r="A204" s="27"/>
      <c r="B204" s="27"/>
      <c r="C204" s="27"/>
      <c r="D204" s="27"/>
      <c r="E204" s="27"/>
      <c r="F204" s="27"/>
      <c r="G204" s="27"/>
      <c r="H204" s="27"/>
      <c r="I204" s="27"/>
      <c r="J204" s="27"/>
      <c r="K204" s="27"/>
      <c r="L204" s="27"/>
      <c r="M204" s="27"/>
      <c r="N204" s="27"/>
      <c r="O204" s="27"/>
      <c r="P204" s="27"/>
      <c r="Q204" s="27"/>
      <c r="R204" s="27"/>
      <c r="S204" s="27"/>
      <c r="T204" s="27"/>
      <c r="U204" s="27"/>
      <c r="V204" s="27"/>
      <c r="W204" s="27"/>
      <c r="X204" s="27"/>
    </row>
    <row r="205" spans="1:24" x14ac:dyDescent="0.2">
      <c r="A205" s="27"/>
      <c r="B205" s="27"/>
      <c r="C205" s="27"/>
      <c r="D205" s="27"/>
      <c r="E205" s="27"/>
      <c r="F205" s="27"/>
      <c r="G205" s="27"/>
      <c r="H205" s="27"/>
      <c r="I205" s="27"/>
      <c r="J205" s="27"/>
      <c r="K205" s="27"/>
      <c r="L205" s="27"/>
      <c r="M205" s="27"/>
      <c r="N205" s="27"/>
      <c r="O205" s="27"/>
      <c r="P205" s="27"/>
      <c r="Q205" s="27"/>
      <c r="R205" s="27"/>
      <c r="S205" s="27"/>
      <c r="T205" s="27"/>
      <c r="U205" s="27"/>
      <c r="V205" s="27"/>
      <c r="W205" s="27"/>
      <c r="X205" s="27"/>
    </row>
    <row r="206" spans="1:24" x14ac:dyDescent="0.2">
      <c r="A206" s="27"/>
      <c r="B206" s="27"/>
      <c r="C206" s="27"/>
      <c r="D206" s="27"/>
      <c r="E206" s="27"/>
      <c r="F206" s="27"/>
      <c r="G206" s="27"/>
      <c r="H206" s="27"/>
      <c r="I206" s="27"/>
      <c r="J206" s="27"/>
      <c r="K206" s="27"/>
      <c r="L206" s="27"/>
      <c r="M206" s="27"/>
      <c r="N206" s="27"/>
      <c r="O206" s="27"/>
      <c r="P206" s="27"/>
      <c r="Q206" s="27"/>
      <c r="R206" s="27"/>
      <c r="S206" s="27"/>
      <c r="T206" s="27"/>
      <c r="U206" s="27"/>
      <c r="V206" s="27"/>
      <c r="W206" s="27"/>
      <c r="X206" s="27"/>
    </row>
    <row r="207" spans="1:24" x14ac:dyDescent="0.2">
      <c r="A207" s="27"/>
      <c r="B207" s="27"/>
      <c r="C207" s="27"/>
      <c r="D207" s="27"/>
      <c r="E207" s="27"/>
      <c r="F207" s="27"/>
      <c r="G207" s="27"/>
      <c r="H207" s="27"/>
      <c r="I207" s="27"/>
      <c r="J207" s="27"/>
      <c r="K207" s="27"/>
      <c r="L207" s="27"/>
      <c r="M207" s="27"/>
      <c r="N207" s="27"/>
      <c r="O207" s="27"/>
      <c r="P207" s="27"/>
      <c r="Q207" s="27"/>
      <c r="R207" s="27"/>
      <c r="S207" s="27"/>
      <c r="T207" s="27"/>
      <c r="U207" s="27"/>
      <c r="V207" s="27"/>
      <c r="W207" s="27"/>
      <c r="X207" s="27"/>
    </row>
    <row r="208" spans="1:24" x14ac:dyDescent="0.2">
      <c r="A208" s="27"/>
      <c r="B208" s="27"/>
      <c r="C208" s="27"/>
      <c r="D208" s="27"/>
      <c r="E208" s="27"/>
      <c r="F208" s="27"/>
      <c r="G208" s="27"/>
      <c r="H208" s="27"/>
      <c r="I208" s="27"/>
      <c r="J208" s="27"/>
      <c r="K208" s="27"/>
      <c r="L208" s="27"/>
      <c r="M208" s="27"/>
      <c r="N208" s="27"/>
      <c r="O208" s="27"/>
      <c r="P208" s="27"/>
      <c r="Q208" s="27"/>
      <c r="R208" s="27"/>
      <c r="S208" s="27"/>
      <c r="T208" s="27"/>
      <c r="U208" s="27"/>
      <c r="V208" s="27"/>
      <c r="W208" s="27"/>
      <c r="X208" s="27"/>
    </row>
    <row r="209" spans="1:24" x14ac:dyDescent="0.2">
      <c r="A209" s="27"/>
      <c r="B209" s="27"/>
      <c r="C209" s="27"/>
      <c r="D209" s="27"/>
      <c r="E209" s="27"/>
      <c r="F209" s="27"/>
      <c r="G209" s="27"/>
      <c r="H209" s="27"/>
      <c r="I209" s="27"/>
      <c r="J209" s="27"/>
      <c r="K209" s="27"/>
      <c r="L209" s="27"/>
      <c r="M209" s="27"/>
      <c r="N209" s="27"/>
      <c r="O209" s="27"/>
      <c r="P209" s="27"/>
      <c r="Q209" s="27"/>
      <c r="R209" s="27"/>
      <c r="S209" s="27"/>
      <c r="T209" s="27"/>
      <c r="U209" s="27"/>
      <c r="V209" s="27"/>
      <c r="W209" s="27"/>
      <c r="X209" s="27"/>
    </row>
    <row r="210" spans="1:24" x14ac:dyDescent="0.2">
      <c r="A210" s="27"/>
      <c r="B210" s="27"/>
      <c r="C210" s="27"/>
      <c r="D210" s="27"/>
      <c r="E210" s="27"/>
      <c r="F210" s="27"/>
      <c r="G210" s="27"/>
      <c r="H210" s="27"/>
      <c r="I210" s="27"/>
      <c r="J210" s="27"/>
      <c r="K210" s="27"/>
      <c r="L210" s="27"/>
      <c r="M210" s="27"/>
      <c r="N210" s="27"/>
      <c r="O210" s="27"/>
      <c r="P210" s="27"/>
      <c r="Q210" s="27"/>
      <c r="R210" s="27"/>
      <c r="S210" s="27"/>
      <c r="T210" s="27"/>
      <c r="U210" s="27"/>
      <c r="V210" s="27"/>
      <c r="W210" s="27"/>
      <c r="X210" s="27"/>
    </row>
    <row r="211" spans="1:24" x14ac:dyDescent="0.2">
      <c r="A211" s="27"/>
      <c r="B211" s="27"/>
      <c r="C211" s="27"/>
      <c r="D211" s="27"/>
      <c r="E211" s="27"/>
      <c r="F211" s="27"/>
      <c r="G211" s="27"/>
      <c r="H211" s="27"/>
      <c r="I211" s="27"/>
      <c r="J211" s="27"/>
      <c r="K211" s="27"/>
      <c r="L211" s="27"/>
      <c r="M211" s="27"/>
      <c r="N211" s="27"/>
      <c r="O211" s="27"/>
      <c r="P211" s="27"/>
      <c r="Q211" s="27"/>
      <c r="R211" s="27"/>
      <c r="S211" s="27"/>
      <c r="T211" s="27"/>
      <c r="U211" s="27"/>
      <c r="V211" s="27"/>
      <c r="W211" s="27"/>
      <c r="X211" s="27"/>
    </row>
    <row r="212" spans="1:24" x14ac:dyDescent="0.2">
      <c r="A212" s="27"/>
      <c r="B212" s="27"/>
      <c r="C212" s="27"/>
      <c r="D212" s="27"/>
      <c r="E212" s="27"/>
      <c r="F212" s="27"/>
      <c r="G212" s="27"/>
      <c r="H212" s="27"/>
      <c r="I212" s="27"/>
      <c r="J212" s="27"/>
      <c r="K212" s="27"/>
      <c r="L212" s="27"/>
      <c r="M212" s="27"/>
      <c r="N212" s="27"/>
      <c r="O212" s="27"/>
      <c r="P212" s="27"/>
      <c r="Q212" s="27"/>
      <c r="R212" s="27"/>
      <c r="S212" s="27"/>
      <c r="T212" s="27"/>
      <c r="U212" s="27"/>
      <c r="V212" s="27"/>
      <c r="W212" s="27"/>
      <c r="X212" s="27"/>
    </row>
    <row r="213" spans="1:24" x14ac:dyDescent="0.2">
      <c r="A213" s="27"/>
      <c r="B213" s="27"/>
      <c r="C213" s="27"/>
      <c r="D213" s="27"/>
      <c r="E213" s="27"/>
      <c r="F213" s="27"/>
      <c r="G213" s="27"/>
      <c r="H213" s="27"/>
      <c r="I213" s="27"/>
      <c r="J213" s="27"/>
      <c r="K213" s="27"/>
      <c r="L213" s="27"/>
      <c r="M213" s="27"/>
      <c r="N213" s="27"/>
      <c r="O213" s="27"/>
      <c r="P213" s="27"/>
      <c r="Q213" s="27"/>
      <c r="R213" s="27"/>
      <c r="S213" s="27"/>
      <c r="T213" s="27"/>
      <c r="U213" s="27"/>
      <c r="V213" s="27"/>
      <c r="W213" s="27"/>
      <c r="X213" s="27"/>
    </row>
    <row r="214" spans="1:24" x14ac:dyDescent="0.2">
      <c r="A214" s="27"/>
      <c r="B214" s="27"/>
      <c r="C214" s="27"/>
      <c r="D214" s="27"/>
      <c r="E214" s="27"/>
      <c r="F214" s="27"/>
      <c r="G214" s="27"/>
      <c r="H214" s="27"/>
      <c r="I214" s="27"/>
      <c r="J214" s="27"/>
      <c r="K214" s="27"/>
      <c r="L214" s="27"/>
      <c r="M214" s="27"/>
      <c r="N214" s="27"/>
      <c r="O214" s="27"/>
      <c r="P214" s="27"/>
      <c r="Q214" s="27"/>
      <c r="R214" s="27"/>
      <c r="S214" s="27"/>
      <c r="T214" s="27"/>
      <c r="U214" s="27"/>
      <c r="V214" s="27"/>
      <c r="W214" s="27"/>
      <c r="X214" s="27"/>
    </row>
    <row r="215" spans="1:24" x14ac:dyDescent="0.2">
      <c r="A215" s="27"/>
      <c r="B215" s="27"/>
      <c r="C215" s="27"/>
      <c r="D215" s="27"/>
      <c r="E215" s="27"/>
      <c r="F215" s="27"/>
      <c r="G215" s="27"/>
      <c r="H215" s="27"/>
      <c r="I215" s="27"/>
      <c r="J215" s="27"/>
      <c r="K215" s="27"/>
      <c r="L215" s="27"/>
      <c r="M215" s="27"/>
      <c r="N215" s="27"/>
      <c r="O215" s="27"/>
      <c r="P215" s="27"/>
      <c r="Q215" s="27"/>
      <c r="R215" s="27"/>
      <c r="S215" s="27"/>
      <c r="T215" s="27"/>
      <c r="U215" s="27"/>
      <c r="V215" s="27"/>
      <c r="W215" s="27"/>
      <c r="X215" s="27"/>
    </row>
    <row r="216" spans="1:24" x14ac:dyDescent="0.2">
      <c r="A216" s="27"/>
      <c r="B216" s="27"/>
      <c r="C216" s="27"/>
      <c r="D216" s="27"/>
      <c r="E216" s="27"/>
      <c r="F216" s="27"/>
      <c r="G216" s="27"/>
      <c r="H216" s="27"/>
      <c r="I216" s="27"/>
      <c r="J216" s="27"/>
      <c r="K216" s="27"/>
      <c r="L216" s="27"/>
      <c r="M216" s="27"/>
      <c r="N216" s="27"/>
      <c r="O216" s="27"/>
      <c r="P216" s="27"/>
      <c r="Q216" s="27"/>
      <c r="R216" s="27"/>
      <c r="S216" s="27"/>
      <c r="T216" s="27"/>
      <c r="U216" s="27"/>
      <c r="V216" s="27"/>
      <c r="W216" s="27"/>
      <c r="X216" s="27"/>
    </row>
    <row r="217" spans="1:24" x14ac:dyDescent="0.2">
      <c r="A217" s="27"/>
      <c r="B217" s="27"/>
      <c r="C217" s="27"/>
      <c r="D217" s="27"/>
      <c r="E217" s="27"/>
      <c r="F217" s="27"/>
      <c r="G217" s="27"/>
      <c r="H217" s="27"/>
      <c r="I217" s="27"/>
      <c r="J217" s="27"/>
      <c r="K217" s="27"/>
      <c r="L217" s="27"/>
      <c r="M217" s="27"/>
      <c r="N217" s="27"/>
      <c r="O217" s="27"/>
      <c r="P217" s="27"/>
      <c r="Q217" s="27"/>
      <c r="R217" s="27"/>
      <c r="S217" s="27"/>
      <c r="T217" s="27"/>
      <c r="U217" s="27"/>
      <c r="V217" s="27"/>
      <c r="W217" s="27"/>
      <c r="X217" s="27"/>
    </row>
    <row r="218" spans="1:24" x14ac:dyDescent="0.2">
      <c r="A218" s="27"/>
      <c r="B218" s="27"/>
      <c r="C218" s="27"/>
      <c r="D218" s="27"/>
      <c r="E218" s="27"/>
      <c r="F218" s="27"/>
      <c r="G218" s="27"/>
      <c r="H218" s="27"/>
      <c r="I218" s="27"/>
      <c r="J218" s="27"/>
      <c r="K218" s="27"/>
      <c r="L218" s="27"/>
      <c r="M218" s="27"/>
      <c r="N218" s="27"/>
      <c r="O218" s="27"/>
      <c r="P218" s="27"/>
      <c r="Q218" s="27"/>
      <c r="R218" s="27"/>
      <c r="S218" s="27"/>
      <c r="T218" s="27"/>
      <c r="U218" s="27"/>
      <c r="V218" s="27"/>
      <c r="W218" s="27"/>
      <c r="X218" s="27"/>
    </row>
    <row r="219" spans="1:24" x14ac:dyDescent="0.2">
      <c r="A219" s="27"/>
      <c r="B219" s="27"/>
      <c r="C219" s="27"/>
      <c r="D219" s="27"/>
      <c r="E219" s="27"/>
      <c r="F219" s="27"/>
      <c r="G219" s="27"/>
      <c r="H219" s="27"/>
      <c r="I219" s="27"/>
      <c r="J219" s="27"/>
      <c r="K219" s="27"/>
      <c r="L219" s="27"/>
      <c r="M219" s="27"/>
      <c r="N219" s="27"/>
      <c r="O219" s="27"/>
      <c r="P219" s="27"/>
      <c r="Q219" s="27"/>
      <c r="R219" s="27"/>
      <c r="S219" s="27"/>
      <c r="T219" s="27"/>
      <c r="U219" s="27"/>
      <c r="V219" s="27"/>
      <c r="W219" s="27"/>
      <c r="X219" s="27"/>
    </row>
    <row r="220" spans="1:24" x14ac:dyDescent="0.2">
      <c r="A220" s="27"/>
      <c r="B220" s="27"/>
      <c r="C220" s="27"/>
      <c r="D220" s="27"/>
      <c r="E220" s="27"/>
      <c r="F220" s="27"/>
      <c r="G220" s="27"/>
      <c r="H220" s="27"/>
      <c r="I220" s="27"/>
      <c r="J220" s="27"/>
      <c r="K220" s="27"/>
      <c r="L220" s="27"/>
      <c r="M220" s="27"/>
      <c r="N220" s="27"/>
      <c r="O220" s="27"/>
      <c r="P220" s="27"/>
      <c r="Q220" s="27"/>
      <c r="R220" s="27"/>
      <c r="S220" s="27"/>
      <c r="T220" s="27"/>
      <c r="U220" s="27"/>
      <c r="V220" s="27"/>
      <c r="W220" s="27"/>
      <c r="X220" s="27"/>
    </row>
    <row r="221" spans="1:24" x14ac:dyDescent="0.2">
      <c r="A221" s="27"/>
      <c r="B221" s="27"/>
      <c r="C221" s="27"/>
      <c r="D221" s="27"/>
      <c r="E221" s="27"/>
      <c r="F221" s="27"/>
      <c r="G221" s="27"/>
      <c r="H221" s="27"/>
      <c r="I221" s="27"/>
      <c r="J221" s="27"/>
      <c r="K221" s="27"/>
      <c r="L221" s="27"/>
      <c r="M221" s="27"/>
      <c r="N221" s="27"/>
      <c r="O221" s="27"/>
      <c r="P221" s="27"/>
      <c r="Q221" s="27"/>
      <c r="R221" s="27"/>
      <c r="S221" s="27"/>
      <c r="T221" s="27"/>
      <c r="U221" s="27"/>
      <c r="V221" s="27"/>
      <c r="W221" s="27"/>
      <c r="X221" s="27"/>
    </row>
    <row r="222" spans="1:24" x14ac:dyDescent="0.2">
      <c r="A222" s="27"/>
      <c r="B222" s="27"/>
      <c r="C222" s="27"/>
      <c r="D222" s="27"/>
      <c r="E222" s="27"/>
      <c r="F222" s="27"/>
      <c r="G222" s="27"/>
      <c r="H222" s="27"/>
      <c r="I222" s="27"/>
      <c r="J222" s="27"/>
      <c r="K222" s="27"/>
      <c r="L222" s="27"/>
      <c r="M222" s="27"/>
      <c r="N222" s="27"/>
      <c r="O222" s="27"/>
      <c r="P222" s="27"/>
      <c r="Q222" s="27"/>
      <c r="R222" s="27"/>
      <c r="S222" s="27"/>
      <c r="T222" s="27"/>
      <c r="U222" s="27"/>
      <c r="V222" s="27"/>
      <c r="W222" s="27"/>
      <c r="X222" s="27"/>
    </row>
    <row r="223" spans="1:24" x14ac:dyDescent="0.2">
      <c r="A223" s="27"/>
      <c r="B223" s="27"/>
      <c r="C223" s="27"/>
      <c r="D223" s="27"/>
      <c r="E223" s="27"/>
      <c r="F223" s="27"/>
      <c r="G223" s="27"/>
      <c r="H223" s="27"/>
      <c r="I223" s="27"/>
      <c r="J223" s="27"/>
      <c r="K223" s="27"/>
      <c r="L223" s="27"/>
      <c r="M223" s="27"/>
      <c r="N223" s="27"/>
      <c r="O223" s="27"/>
      <c r="P223" s="27"/>
      <c r="Q223" s="27"/>
      <c r="R223" s="27"/>
      <c r="S223" s="27"/>
      <c r="T223" s="27"/>
      <c r="U223" s="27"/>
      <c r="V223" s="27"/>
      <c r="W223" s="27"/>
      <c r="X223" s="27"/>
    </row>
    <row r="224" spans="1:24" x14ac:dyDescent="0.2">
      <c r="A224" s="27"/>
      <c r="B224" s="27"/>
      <c r="C224" s="27"/>
      <c r="D224" s="27"/>
      <c r="E224" s="27"/>
      <c r="F224" s="27"/>
      <c r="G224" s="27"/>
      <c r="H224" s="27"/>
      <c r="I224" s="27"/>
      <c r="J224" s="27"/>
      <c r="K224" s="27"/>
      <c r="L224" s="27"/>
      <c r="M224" s="27"/>
      <c r="N224" s="27"/>
      <c r="O224" s="27"/>
      <c r="P224" s="27"/>
      <c r="Q224" s="27"/>
      <c r="R224" s="27"/>
      <c r="S224" s="27"/>
      <c r="T224" s="27"/>
      <c r="U224" s="27"/>
      <c r="V224" s="27"/>
      <c r="W224" s="27"/>
      <c r="X224" s="27"/>
    </row>
    <row r="225" spans="1:24" x14ac:dyDescent="0.2">
      <c r="A225" s="27"/>
      <c r="B225" s="27"/>
      <c r="C225" s="27"/>
      <c r="D225" s="27"/>
      <c r="E225" s="27"/>
      <c r="F225" s="27"/>
      <c r="G225" s="27"/>
      <c r="H225" s="27"/>
      <c r="I225" s="27"/>
      <c r="J225" s="27"/>
      <c r="K225" s="27"/>
      <c r="L225" s="27"/>
      <c r="M225" s="27"/>
      <c r="N225" s="27"/>
      <c r="O225" s="27"/>
      <c r="P225" s="27"/>
      <c r="Q225" s="27"/>
      <c r="R225" s="27"/>
      <c r="S225" s="27"/>
      <c r="T225" s="27"/>
      <c r="U225" s="27"/>
      <c r="V225" s="27"/>
      <c r="W225" s="27"/>
      <c r="X225" s="27"/>
    </row>
    <row r="226" spans="1:24" x14ac:dyDescent="0.2">
      <c r="A226" s="27"/>
      <c r="B226" s="27"/>
      <c r="C226" s="27"/>
      <c r="D226" s="27"/>
      <c r="E226" s="27"/>
      <c r="F226" s="27"/>
      <c r="G226" s="27"/>
      <c r="H226" s="27"/>
      <c r="I226" s="27"/>
      <c r="J226" s="27"/>
      <c r="K226" s="27"/>
      <c r="L226" s="27"/>
      <c r="M226" s="27"/>
      <c r="N226" s="27"/>
      <c r="O226" s="27"/>
      <c r="P226" s="27"/>
      <c r="Q226" s="27"/>
      <c r="R226" s="27"/>
      <c r="S226" s="27"/>
      <c r="T226" s="27"/>
      <c r="U226" s="27"/>
      <c r="V226" s="27"/>
      <c r="W226" s="27"/>
      <c r="X226" s="27"/>
    </row>
    <row r="227" spans="1:24" x14ac:dyDescent="0.2">
      <c r="A227" s="27"/>
      <c r="B227" s="27"/>
      <c r="C227" s="27"/>
      <c r="D227" s="27"/>
      <c r="E227" s="27"/>
      <c r="F227" s="27"/>
      <c r="G227" s="27"/>
      <c r="H227" s="27"/>
      <c r="I227" s="27"/>
      <c r="J227" s="27"/>
      <c r="K227" s="27"/>
      <c r="L227" s="27"/>
      <c r="M227" s="27"/>
      <c r="N227" s="27"/>
      <c r="O227" s="27"/>
      <c r="P227" s="27"/>
      <c r="Q227" s="27"/>
      <c r="R227" s="27"/>
      <c r="S227" s="27"/>
      <c r="T227" s="27"/>
      <c r="U227" s="27"/>
      <c r="V227" s="27"/>
      <c r="W227" s="27"/>
      <c r="X227" s="27"/>
    </row>
    <row r="228" spans="1:24" x14ac:dyDescent="0.2">
      <c r="A228" s="27"/>
      <c r="B228" s="27"/>
      <c r="C228" s="27"/>
      <c r="D228" s="27"/>
      <c r="E228" s="27"/>
      <c r="F228" s="27"/>
      <c r="G228" s="27"/>
      <c r="H228" s="27"/>
      <c r="I228" s="27"/>
      <c r="J228" s="27"/>
      <c r="K228" s="27"/>
      <c r="L228" s="27"/>
      <c r="M228" s="27"/>
      <c r="N228" s="27"/>
      <c r="O228" s="27"/>
      <c r="P228" s="27"/>
      <c r="Q228" s="27"/>
      <c r="R228" s="27"/>
      <c r="S228" s="27"/>
      <c r="T228" s="27"/>
      <c r="U228" s="27"/>
      <c r="V228" s="27"/>
      <c r="W228" s="27"/>
      <c r="X228" s="27"/>
    </row>
    <row r="229" spans="1:24" x14ac:dyDescent="0.2">
      <c r="A229" s="27"/>
      <c r="B229" s="27"/>
      <c r="C229" s="27"/>
      <c r="D229" s="27"/>
      <c r="E229" s="27"/>
      <c r="F229" s="27"/>
      <c r="G229" s="27"/>
      <c r="H229" s="27"/>
      <c r="I229" s="27"/>
      <c r="J229" s="27"/>
      <c r="K229" s="27"/>
      <c r="L229" s="27"/>
      <c r="M229" s="27"/>
      <c r="N229" s="27"/>
      <c r="O229" s="27"/>
      <c r="P229" s="27"/>
      <c r="Q229" s="27"/>
      <c r="R229" s="27"/>
      <c r="S229" s="27"/>
      <c r="T229" s="27"/>
      <c r="U229" s="27"/>
      <c r="V229" s="27"/>
      <c r="W229" s="27"/>
      <c r="X229" s="27"/>
    </row>
    <row r="230" spans="1:24" x14ac:dyDescent="0.2">
      <c r="A230" s="27"/>
      <c r="B230" s="27"/>
      <c r="C230" s="27"/>
      <c r="D230" s="27"/>
      <c r="E230" s="27"/>
      <c r="F230" s="27"/>
      <c r="G230" s="27"/>
      <c r="H230" s="27"/>
      <c r="I230" s="27"/>
      <c r="J230" s="27"/>
      <c r="K230" s="27"/>
      <c r="L230" s="27"/>
      <c r="M230" s="27"/>
      <c r="N230" s="27"/>
      <c r="O230" s="27"/>
      <c r="P230" s="27"/>
      <c r="Q230" s="27"/>
      <c r="R230" s="27"/>
      <c r="S230" s="27"/>
      <c r="T230" s="27"/>
      <c r="U230" s="27"/>
      <c r="V230" s="27"/>
      <c r="W230" s="27"/>
      <c r="X230" s="27"/>
    </row>
    <row r="231" spans="1:24" x14ac:dyDescent="0.2">
      <c r="A231" s="27"/>
      <c r="B231" s="27"/>
      <c r="C231" s="27"/>
      <c r="D231" s="27"/>
      <c r="E231" s="27"/>
      <c r="F231" s="27"/>
      <c r="G231" s="27"/>
      <c r="H231" s="27"/>
      <c r="I231" s="27"/>
      <c r="J231" s="27"/>
      <c r="K231" s="27"/>
      <c r="L231" s="27"/>
      <c r="M231" s="27"/>
      <c r="N231" s="27"/>
      <c r="O231" s="27"/>
      <c r="P231" s="27"/>
      <c r="Q231" s="27"/>
      <c r="R231" s="27"/>
      <c r="S231" s="27"/>
      <c r="T231" s="27"/>
      <c r="U231" s="27"/>
      <c r="V231" s="27"/>
      <c r="W231" s="27"/>
      <c r="X231" s="27"/>
    </row>
    <row r="232" spans="1:24" x14ac:dyDescent="0.2">
      <c r="A232" s="27"/>
      <c r="B232" s="27"/>
      <c r="C232" s="27"/>
      <c r="D232" s="27"/>
      <c r="E232" s="27"/>
      <c r="F232" s="27"/>
      <c r="G232" s="27"/>
      <c r="H232" s="27"/>
      <c r="I232" s="27"/>
      <c r="J232" s="27"/>
      <c r="K232" s="27"/>
      <c r="L232" s="27"/>
      <c r="M232" s="27"/>
      <c r="N232" s="27"/>
      <c r="O232" s="27"/>
      <c r="P232" s="27"/>
      <c r="Q232" s="27"/>
      <c r="R232" s="27"/>
      <c r="S232" s="27"/>
      <c r="T232" s="27"/>
      <c r="U232" s="27"/>
      <c r="V232" s="27"/>
      <c r="W232" s="27"/>
      <c r="X232" s="27"/>
    </row>
    <row r="233" spans="1:24" x14ac:dyDescent="0.2">
      <c r="A233" s="27"/>
      <c r="B233" s="27"/>
      <c r="C233" s="27"/>
      <c r="D233" s="27"/>
      <c r="E233" s="27"/>
      <c r="F233" s="27"/>
      <c r="G233" s="27"/>
      <c r="H233" s="27"/>
      <c r="I233" s="27"/>
      <c r="J233" s="27"/>
      <c r="K233" s="27"/>
      <c r="L233" s="27"/>
      <c r="M233" s="27"/>
      <c r="N233" s="27"/>
      <c r="O233" s="27"/>
      <c r="P233" s="27"/>
      <c r="Q233" s="27"/>
      <c r="R233" s="27"/>
      <c r="S233" s="27"/>
      <c r="T233" s="27"/>
      <c r="U233" s="27"/>
      <c r="V233" s="27"/>
      <c r="W233" s="27"/>
      <c r="X233" s="27"/>
    </row>
    <row r="234" spans="1:24" x14ac:dyDescent="0.2">
      <c r="A234" s="27"/>
      <c r="B234" s="27"/>
      <c r="C234" s="27"/>
      <c r="D234" s="27"/>
      <c r="E234" s="27"/>
      <c r="F234" s="27"/>
      <c r="G234" s="27"/>
      <c r="H234" s="27"/>
      <c r="I234" s="27"/>
      <c r="J234" s="27"/>
      <c r="K234" s="27"/>
      <c r="L234" s="27"/>
      <c r="M234" s="27"/>
      <c r="N234" s="27"/>
      <c r="O234" s="27"/>
      <c r="P234" s="27"/>
      <c r="Q234" s="27"/>
      <c r="R234" s="27"/>
      <c r="S234" s="27"/>
      <c r="T234" s="27"/>
      <c r="U234" s="27"/>
      <c r="V234" s="27"/>
      <c r="W234" s="27"/>
      <c r="X234" s="27"/>
    </row>
    <row r="235" spans="1:24" x14ac:dyDescent="0.2">
      <c r="A235" s="27"/>
      <c r="B235" s="27"/>
      <c r="C235" s="27"/>
      <c r="D235" s="27"/>
      <c r="E235" s="27"/>
      <c r="F235" s="27"/>
      <c r="G235" s="27"/>
      <c r="H235" s="27"/>
      <c r="I235" s="27"/>
      <c r="J235" s="27"/>
      <c r="K235" s="27"/>
      <c r="L235" s="27"/>
      <c r="M235" s="27"/>
      <c r="N235" s="27"/>
      <c r="O235" s="27"/>
      <c r="P235" s="27"/>
      <c r="Q235" s="27"/>
      <c r="R235" s="27"/>
      <c r="S235" s="27"/>
      <c r="T235" s="27"/>
      <c r="U235" s="27"/>
      <c r="V235" s="27"/>
      <c r="W235" s="27"/>
      <c r="X235" s="27"/>
    </row>
    <row r="236" spans="1:24" x14ac:dyDescent="0.2">
      <c r="A236" s="27"/>
      <c r="B236" s="27"/>
      <c r="C236" s="27"/>
      <c r="D236" s="27"/>
      <c r="E236" s="27"/>
      <c r="F236" s="27"/>
      <c r="G236" s="27"/>
      <c r="H236" s="27"/>
      <c r="I236" s="27"/>
      <c r="J236" s="27"/>
      <c r="K236" s="27"/>
      <c r="L236" s="27"/>
      <c r="M236" s="27"/>
      <c r="N236" s="27"/>
      <c r="O236" s="27"/>
      <c r="P236" s="27"/>
      <c r="Q236" s="27"/>
      <c r="R236" s="27"/>
      <c r="S236" s="27"/>
      <c r="T236" s="27"/>
      <c r="U236" s="27"/>
      <c r="V236" s="27"/>
      <c r="W236" s="27"/>
      <c r="X236" s="27"/>
    </row>
    <row r="237" spans="1:24" x14ac:dyDescent="0.2">
      <c r="A237" s="27"/>
      <c r="B237" s="27"/>
      <c r="C237" s="27"/>
      <c r="D237" s="27"/>
      <c r="E237" s="27"/>
      <c r="F237" s="27"/>
      <c r="G237" s="27"/>
      <c r="H237" s="27"/>
      <c r="I237" s="27"/>
      <c r="J237" s="27"/>
      <c r="K237" s="27"/>
      <c r="L237" s="27"/>
      <c r="M237" s="27"/>
      <c r="N237" s="27"/>
      <c r="O237" s="27"/>
      <c r="P237" s="27"/>
      <c r="Q237" s="27"/>
      <c r="R237" s="27"/>
      <c r="S237" s="27"/>
      <c r="T237" s="27"/>
      <c r="U237" s="27"/>
      <c r="V237" s="27"/>
      <c r="W237" s="27"/>
      <c r="X237" s="27"/>
    </row>
    <row r="238" spans="1:24" x14ac:dyDescent="0.2">
      <c r="A238" s="27"/>
      <c r="B238" s="27"/>
      <c r="C238" s="27"/>
      <c r="D238" s="27"/>
      <c r="E238" s="27"/>
      <c r="F238" s="27"/>
      <c r="G238" s="27"/>
      <c r="H238" s="27"/>
      <c r="I238" s="27"/>
      <c r="J238" s="27"/>
      <c r="K238" s="27"/>
      <c r="L238" s="27"/>
      <c r="M238" s="27"/>
      <c r="N238" s="27"/>
      <c r="O238" s="27"/>
      <c r="P238" s="27"/>
      <c r="Q238" s="27"/>
      <c r="R238" s="27"/>
      <c r="S238" s="27"/>
      <c r="T238" s="27"/>
      <c r="U238" s="27"/>
      <c r="V238" s="27"/>
      <c r="W238" s="27"/>
      <c r="X238" s="27"/>
    </row>
    <row r="239" spans="1:24" x14ac:dyDescent="0.2">
      <c r="A239" s="27"/>
      <c r="B239" s="27"/>
      <c r="C239" s="27"/>
      <c r="D239" s="27"/>
      <c r="E239" s="27"/>
      <c r="F239" s="27"/>
      <c r="G239" s="27"/>
      <c r="H239" s="27"/>
      <c r="I239" s="27"/>
      <c r="J239" s="27"/>
      <c r="K239" s="27"/>
      <c r="L239" s="27"/>
      <c r="M239" s="27"/>
      <c r="N239" s="27"/>
      <c r="O239" s="27"/>
      <c r="P239" s="27"/>
      <c r="Q239" s="27"/>
      <c r="R239" s="27"/>
      <c r="S239" s="27"/>
      <c r="T239" s="27"/>
      <c r="U239" s="27"/>
      <c r="V239" s="27"/>
      <c r="W239" s="27"/>
      <c r="X239" s="27"/>
    </row>
    <row r="240" spans="1:24" x14ac:dyDescent="0.2">
      <c r="A240" s="27"/>
      <c r="B240" s="27"/>
      <c r="C240" s="27"/>
      <c r="D240" s="27"/>
      <c r="E240" s="27"/>
      <c r="F240" s="27"/>
      <c r="G240" s="27"/>
      <c r="H240" s="27"/>
      <c r="I240" s="27"/>
      <c r="J240" s="27"/>
      <c r="K240" s="27"/>
      <c r="L240" s="27"/>
      <c r="M240" s="27"/>
      <c r="N240" s="27"/>
      <c r="O240" s="27"/>
      <c r="P240" s="27"/>
      <c r="Q240" s="27"/>
      <c r="R240" s="27"/>
      <c r="S240" s="27"/>
      <c r="T240" s="27"/>
      <c r="U240" s="27"/>
      <c r="V240" s="27"/>
      <c r="W240" s="27"/>
      <c r="X240" s="27"/>
    </row>
    <row r="241" spans="1:24" x14ac:dyDescent="0.2">
      <c r="A241" s="27"/>
      <c r="B241" s="27"/>
      <c r="C241" s="27"/>
      <c r="D241" s="27"/>
      <c r="E241" s="27"/>
      <c r="F241" s="27"/>
      <c r="G241" s="27"/>
      <c r="H241" s="27"/>
      <c r="I241" s="27"/>
      <c r="J241" s="27"/>
      <c r="K241" s="27"/>
      <c r="L241" s="27"/>
      <c r="M241" s="27"/>
      <c r="N241" s="27"/>
      <c r="O241" s="27"/>
      <c r="P241" s="27"/>
      <c r="Q241" s="27"/>
      <c r="R241" s="27"/>
      <c r="S241" s="27"/>
      <c r="T241" s="27"/>
      <c r="U241" s="27"/>
      <c r="V241" s="27"/>
      <c r="W241" s="27"/>
      <c r="X241" s="27"/>
    </row>
    <row r="242" spans="1:24" x14ac:dyDescent="0.2">
      <c r="A242" s="27"/>
      <c r="B242" s="27"/>
      <c r="C242" s="27"/>
      <c r="D242" s="27"/>
      <c r="E242" s="27"/>
      <c r="F242" s="27"/>
      <c r="G242" s="27"/>
      <c r="H242" s="27"/>
      <c r="I242" s="27"/>
      <c r="J242" s="27"/>
      <c r="K242" s="27"/>
      <c r="L242" s="27"/>
      <c r="M242" s="27"/>
      <c r="N242" s="27"/>
      <c r="O242" s="27"/>
      <c r="P242" s="27"/>
      <c r="Q242" s="27"/>
      <c r="R242" s="27"/>
      <c r="S242" s="27"/>
      <c r="T242" s="27"/>
      <c r="U242" s="27"/>
      <c r="V242" s="27"/>
      <c r="W242" s="27"/>
      <c r="X242" s="27"/>
    </row>
    <row r="243" spans="1:24" x14ac:dyDescent="0.2">
      <c r="A243" s="27"/>
      <c r="B243" s="27"/>
      <c r="C243" s="27"/>
      <c r="D243" s="27"/>
      <c r="E243" s="27"/>
      <c r="F243" s="27"/>
      <c r="G243" s="27"/>
      <c r="H243" s="27"/>
      <c r="I243" s="27"/>
      <c r="J243" s="27"/>
      <c r="K243" s="27"/>
      <c r="L243" s="27"/>
      <c r="M243" s="27"/>
      <c r="N243" s="27"/>
      <c r="O243" s="27"/>
      <c r="P243" s="27"/>
      <c r="Q243" s="27"/>
      <c r="R243" s="27"/>
      <c r="S243" s="27"/>
      <c r="T243" s="27"/>
      <c r="U243" s="27"/>
      <c r="V243" s="27"/>
      <c r="W243" s="27"/>
      <c r="X243" s="27"/>
    </row>
    <row r="244" spans="1:24" x14ac:dyDescent="0.2">
      <c r="A244" s="27"/>
      <c r="B244" s="27"/>
      <c r="C244" s="27"/>
      <c r="D244" s="27"/>
      <c r="E244" s="27"/>
      <c r="F244" s="27"/>
      <c r="G244" s="27"/>
      <c r="H244" s="27"/>
      <c r="I244" s="27"/>
      <c r="J244" s="27"/>
      <c r="K244" s="27"/>
      <c r="L244" s="27"/>
      <c r="M244" s="27"/>
      <c r="N244" s="27"/>
      <c r="O244" s="27"/>
      <c r="P244" s="27"/>
      <c r="Q244" s="27"/>
      <c r="R244" s="27"/>
      <c r="S244" s="27"/>
      <c r="T244" s="27"/>
      <c r="U244" s="27"/>
      <c r="V244" s="27"/>
      <c r="W244" s="27"/>
      <c r="X244" s="27"/>
    </row>
    <row r="245" spans="1:24" x14ac:dyDescent="0.2">
      <c r="A245" s="27"/>
      <c r="B245" s="27"/>
      <c r="C245" s="27"/>
      <c r="D245" s="27"/>
      <c r="E245" s="27"/>
      <c r="F245" s="27"/>
      <c r="G245" s="27"/>
      <c r="H245" s="27"/>
      <c r="I245" s="27"/>
      <c r="J245" s="27"/>
      <c r="K245" s="27"/>
      <c r="L245" s="27"/>
      <c r="M245" s="27"/>
      <c r="N245" s="27"/>
      <c r="O245" s="27"/>
      <c r="P245" s="27"/>
      <c r="Q245" s="27"/>
      <c r="R245" s="27"/>
      <c r="S245" s="27"/>
      <c r="T245" s="27"/>
      <c r="U245" s="27"/>
      <c r="V245" s="27"/>
      <c r="W245" s="27"/>
      <c r="X245" s="27"/>
    </row>
    <row r="246" spans="1:24" x14ac:dyDescent="0.2">
      <c r="A246" s="27"/>
      <c r="B246" s="27"/>
      <c r="C246" s="27"/>
      <c r="D246" s="27"/>
      <c r="E246" s="27"/>
      <c r="F246" s="27"/>
      <c r="G246" s="27"/>
      <c r="H246" s="27"/>
      <c r="I246" s="27"/>
      <c r="J246" s="27"/>
      <c r="K246" s="27"/>
      <c r="L246" s="27"/>
      <c r="M246" s="27"/>
      <c r="N246" s="27"/>
      <c r="O246" s="27"/>
      <c r="P246" s="27"/>
      <c r="Q246" s="27"/>
      <c r="R246" s="27"/>
      <c r="S246" s="27"/>
      <c r="T246" s="27"/>
      <c r="U246" s="27"/>
      <c r="V246" s="27"/>
      <c r="W246" s="27"/>
      <c r="X246" s="27"/>
    </row>
    <row r="247" spans="1:24" x14ac:dyDescent="0.2">
      <c r="A247" s="27"/>
      <c r="B247" s="27"/>
      <c r="C247" s="27"/>
      <c r="D247" s="27"/>
      <c r="E247" s="27"/>
      <c r="F247" s="27"/>
      <c r="G247" s="27"/>
      <c r="H247" s="27"/>
      <c r="I247" s="27"/>
      <c r="J247" s="27"/>
      <c r="K247" s="27"/>
      <c r="L247" s="27"/>
      <c r="M247" s="27"/>
      <c r="N247" s="27"/>
      <c r="O247" s="27"/>
      <c r="P247" s="27"/>
      <c r="Q247" s="27"/>
      <c r="R247" s="27"/>
      <c r="S247" s="27"/>
      <c r="T247" s="27"/>
      <c r="U247" s="27"/>
      <c r="V247" s="27"/>
      <c r="W247" s="27"/>
      <c r="X247" s="27"/>
    </row>
    <row r="248" spans="1:24" x14ac:dyDescent="0.2">
      <c r="A248" s="27"/>
      <c r="B248" s="27"/>
      <c r="C248" s="27"/>
      <c r="D248" s="27"/>
      <c r="E248" s="27"/>
      <c r="F248" s="27"/>
      <c r="G248" s="27"/>
      <c r="H248" s="27"/>
      <c r="I248" s="27"/>
      <c r="J248" s="27"/>
      <c r="K248" s="27"/>
      <c r="L248" s="27"/>
      <c r="M248" s="27"/>
      <c r="N248" s="27"/>
      <c r="O248" s="27"/>
      <c r="P248" s="27"/>
      <c r="Q248" s="27"/>
      <c r="R248" s="27"/>
      <c r="S248" s="27"/>
      <c r="T248" s="27"/>
      <c r="U248" s="27"/>
      <c r="V248" s="27"/>
      <c r="W248" s="27"/>
      <c r="X248" s="27"/>
    </row>
    <row r="249" spans="1:24" x14ac:dyDescent="0.2">
      <c r="A249" s="27"/>
      <c r="B249" s="27"/>
      <c r="C249" s="27"/>
      <c r="D249" s="27"/>
      <c r="E249" s="27"/>
      <c r="F249" s="27"/>
      <c r="G249" s="27"/>
      <c r="H249" s="27"/>
      <c r="I249" s="27"/>
      <c r="J249" s="27"/>
      <c r="K249" s="27"/>
      <c r="L249" s="27"/>
      <c r="M249" s="27"/>
      <c r="N249" s="27"/>
      <c r="O249" s="27"/>
      <c r="P249" s="27"/>
      <c r="Q249" s="27"/>
      <c r="R249" s="27"/>
      <c r="S249" s="27"/>
      <c r="T249" s="27"/>
      <c r="U249" s="27"/>
      <c r="V249" s="27"/>
      <c r="W249" s="27"/>
      <c r="X249" s="27"/>
    </row>
    <row r="250" spans="1:24" x14ac:dyDescent="0.2">
      <c r="A250" s="27"/>
      <c r="B250" s="27"/>
      <c r="C250" s="27"/>
      <c r="D250" s="27"/>
      <c r="E250" s="27"/>
      <c r="F250" s="27"/>
      <c r="G250" s="27"/>
      <c r="H250" s="27"/>
      <c r="I250" s="27"/>
      <c r="J250" s="27"/>
      <c r="K250" s="27"/>
      <c r="L250" s="27"/>
      <c r="M250" s="27"/>
      <c r="N250" s="27"/>
      <c r="O250" s="27"/>
      <c r="P250" s="27"/>
      <c r="Q250" s="27"/>
      <c r="R250" s="27"/>
      <c r="S250" s="27"/>
      <c r="T250" s="27"/>
      <c r="U250" s="27"/>
      <c r="V250" s="27"/>
      <c r="W250" s="27"/>
      <c r="X250" s="27"/>
    </row>
    <row r="251" spans="1:24" x14ac:dyDescent="0.2">
      <c r="A251" s="27"/>
      <c r="B251" s="27"/>
      <c r="C251" s="27"/>
      <c r="D251" s="27"/>
      <c r="E251" s="27"/>
      <c r="F251" s="27"/>
      <c r="G251" s="27"/>
      <c r="H251" s="27"/>
      <c r="I251" s="27"/>
      <c r="J251" s="27"/>
      <c r="K251" s="27"/>
      <c r="L251" s="27"/>
      <c r="M251" s="27"/>
      <c r="N251" s="27"/>
      <c r="O251" s="27"/>
      <c r="P251" s="27"/>
      <c r="Q251" s="27"/>
      <c r="R251" s="27"/>
      <c r="S251" s="27"/>
      <c r="T251" s="27"/>
      <c r="U251" s="27"/>
      <c r="V251" s="27"/>
      <c r="W251" s="27"/>
      <c r="X251" s="27"/>
    </row>
    <row r="252" spans="1:24" x14ac:dyDescent="0.2">
      <c r="A252" s="27"/>
      <c r="B252" s="27"/>
      <c r="C252" s="27"/>
      <c r="D252" s="27"/>
      <c r="E252" s="27"/>
      <c r="F252" s="27"/>
      <c r="G252" s="27"/>
      <c r="H252" s="27"/>
      <c r="I252" s="27"/>
      <c r="J252" s="27"/>
      <c r="K252" s="27"/>
      <c r="L252" s="27"/>
      <c r="M252" s="27"/>
      <c r="N252" s="27"/>
      <c r="O252" s="27"/>
      <c r="P252" s="27"/>
      <c r="Q252" s="27"/>
      <c r="R252" s="27"/>
      <c r="S252" s="27"/>
      <c r="T252" s="27"/>
      <c r="U252" s="27"/>
      <c r="V252" s="27"/>
      <c r="W252" s="27"/>
      <c r="X252" s="27"/>
    </row>
    <row r="253" spans="1:24" x14ac:dyDescent="0.2">
      <c r="A253" s="27"/>
      <c r="B253" s="27"/>
      <c r="C253" s="27"/>
      <c r="D253" s="27"/>
      <c r="E253" s="27"/>
      <c r="F253" s="27"/>
      <c r="G253" s="27"/>
      <c r="H253" s="27"/>
      <c r="I253" s="27"/>
      <c r="J253" s="27"/>
      <c r="K253" s="27"/>
      <c r="L253" s="27"/>
      <c r="M253" s="27"/>
      <c r="N253" s="27"/>
      <c r="O253" s="27"/>
      <c r="P253" s="27"/>
      <c r="Q253" s="27"/>
      <c r="R253" s="27"/>
      <c r="S253" s="27"/>
      <c r="T253" s="27"/>
      <c r="U253" s="27"/>
      <c r="V253" s="27"/>
      <c r="W253" s="27"/>
      <c r="X253" s="27"/>
    </row>
    <row r="254" spans="1:24" x14ac:dyDescent="0.2">
      <c r="A254" s="27"/>
      <c r="B254" s="27"/>
      <c r="C254" s="27"/>
      <c r="D254" s="27"/>
      <c r="E254" s="27"/>
      <c r="F254" s="27"/>
      <c r="G254" s="27"/>
      <c r="H254" s="27"/>
      <c r="I254" s="27"/>
      <c r="J254" s="27"/>
      <c r="K254" s="27"/>
      <c r="L254" s="27"/>
      <c r="M254" s="27"/>
      <c r="N254" s="27"/>
      <c r="O254" s="27"/>
      <c r="P254" s="27"/>
      <c r="Q254" s="27"/>
      <c r="R254" s="27"/>
      <c r="S254" s="27"/>
      <c r="T254" s="27"/>
      <c r="U254" s="27"/>
      <c r="V254" s="27"/>
      <c r="W254" s="27"/>
      <c r="X254" s="27"/>
    </row>
    <row r="255" spans="1:24" x14ac:dyDescent="0.2">
      <c r="A255" s="27"/>
      <c r="B255" s="27"/>
      <c r="C255" s="27"/>
      <c r="D255" s="27"/>
      <c r="E255" s="27"/>
      <c r="F255" s="27"/>
      <c r="G255" s="27"/>
      <c r="H255" s="27"/>
      <c r="I255" s="27"/>
      <c r="J255" s="27"/>
      <c r="K255" s="27"/>
      <c r="L255" s="27"/>
      <c r="M255" s="27"/>
      <c r="N255" s="27"/>
      <c r="O255" s="27"/>
      <c r="P255" s="27"/>
      <c r="Q255" s="27"/>
      <c r="R255" s="27"/>
      <c r="S255" s="27"/>
      <c r="T255" s="27"/>
      <c r="U255" s="27"/>
      <c r="V255" s="27"/>
      <c r="W255" s="27"/>
      <c r="X255" s="27"/>
    </row>
    <row r="256" spans="1:24" x14ac:dyDescent="0.2">
      <c r="A256" s="27"/>
      <c r="B256" s="27"/>
      <c r="C256" s="27"/>
      <c r="D256" s="27"/>
      <c r="E256" s="27"/>
      <c r="F256" s="27"/>
      <c r="G256" s="27"/>
      <c r="H256" s="27"/>
      <c r="I256" s="27"/>
      <c r="J256" s="27"/>
      <c r="K256" s="27"/>
      <c r="L256" s="27"/>
      <c r="M256" s="27"/>
      <c r="N256" s="27"/>
      <c r="O256" s="27"/>
      <c r="P256" s="27"/>
      <c r="Q256" s="27"/>
      <c r="R256" s="27"/>
      <c r="S256" s="27"/>
      <c r="T256" s="27"/>
      <c r="U256" s="27"/>
      <c r="V256" s="27"/>
      <c r="W256" s="27"/>
      <c r="X256" s="27"/>
    </row>
    <row r="257" spans="1:24" x14ac:dyDescent="0.2">
      <c r="A257" s="27"/>
      <c r="B257" s="27"/>
      <c r="C257" s="27"/>
      <c r="D257" s="27"/>
      <c r="E257" s="27"/>
      <c r="F257" s="27"/>
      <c r="G257" s="27"/>
      <c r="H257" s="27"/>
      <c r="I257" s="27"/>
      <c r="J257" s="27"/>
      <c r="K257" s="27"/>
      <c r="L257" s="27"/>
      <c r="M257" s="27"/>
      <c r="N257" s="27"/>
      <c r="O257" s="27"/>
      <c r="P257" s="27"/>
      <c r="Q257" s="27"/>
      <c r="R257" s="27"/>
      <c r="S257" s="27"/>
      <c r="T257" s="27"/>
      <c r="U257" s="27"/>
      <c r="V257" s="27"/>
      <c r="W257" s="27"/>
      <c r="X257" s="27"/>
    </row>
    <row r="258" spans="1:24" x14ac:dyDescent="0.2">
      <c r="A258" s="27"/>
      <c r="B258" s="27"/>
      <c r="C258" s="27"/>
      <c r="D258" s="27"/>
      <c r="E258" s="27"/>
      <c r="F258" s="27"/>
      <c r="G258" s="27"/>
      <c r="H258" s="27"/>
      <c r="I258" s="27"/>
      <c r="J258" s="27"/>
      <c r="K258" s="27"/>
      <c r="L258" s="27"/>
      <c r="M258" s="27"/>
      <c r="N258" s="27"/>
      <c r="O258" s="27"/>
      <c r="P258" s="27"/>
      <c r="Q258" s="27"/>
      <c r="R258" s="27"/>
      <c r="S258" s="27"/>
      <c r="T258" s="27"/>
      <c r="U258" s="27"/>
      <c r="V258" s="27"/>
      <c r="W258" s="27"/>
      <c r="X258" s="27"/>
    </row>
    <row r="259" spans="1:24" x14ac:dyDescent="0.2">
      <c r="A259" s="27"/>
      <c r="B259" s="27"/>
      <c r="C259" s="27"/>
      <c r="D259" s="27"/>
      <c r="E259" s="27"/>
      <c r="F259" s="27"/>
      <c r="G259" s="27"/>
      <c r="H259" s="27"/>
      <c r="I259" s="27"/>
      <c r="J259" s="27"/>
      <c r="K259" s="27"/>
      <c r="L259" s="27"/>
      <c r="M259" s="27"/>
      <c r="N259" s="27"/>
      <c r="O259" s="27"/>
      <c r="P259" s="27"/>
      <c r="Q259" s="27"/>
      <c r="R259" s="27"/>
      <c r="S259" s="27"/>
      <c r="T259" s="27"/>
      <c r="U259" s="27"/>
      <c r="V259" s="27"/>
      <c r="W259" s="27"/>
      <c r="X259" s="27"/>
    </row>
    <row r="260" spans="1:24" x14ac:dyDescent="0.2">
      <c r="A260" s="27"/>
      <c r="B260" s="27"/>
      <c r="C260" s="27"/>
      <c r="D260" s="27"/>
      <c r="E260" s="27"/>
      <c r="F260" s="27"/>
      <c r="G260" s="27"/>
      <c r="H260" s="27"/>
      <c r="I260" s="27"/>
      <c r="J260" s="27"/>
      <c r="K260" s="27"/>
      <c r="L260" s="27"/>
      <c r="M260" s="27"/>
      <c r="N260" s="27"/>
      <c r="O260" s="27"/>
      <c r="P260" s="27"/>
      <c r="Q260" s="27"/>
      <c r="R260" s="27"/>
      <c r="S260" s="27"/>
      <c r="T260" s="27"/>
      <c r="U260" s="27"/>
      <c r="V260" s="27"/>
      <c r="W260" s="27"/>
      <c r="X260" s="27"/>
    </row>
    <row r="261" spans="1:24" x14ac:dyDescent="0.2">
      <c r="A261" s="27"/>
      <c r="B261" s="27"/>
      <c r="C261" s="27"/>
      <c r="D261" s="27"/>
      <c r="E261" s="27"/>
      <c r="F261" s="27"/>
      <c r="G261" s="27"/>
      <c r="H261" s="27"/>
      <c r="I261" s="27"/>
      <c r="J261" s="27"/>
      <c r="K261" s="27"/>
      <c r="L261" s="27"/>
      <c r="M261" s="27"/>
      <c r="N261" s="27"/>
      <c r="O261" s="27"/>
      <c r="P261" s="27"/>
      <c r="Q261" s="27"/>
      <c r="R261" s="27"/>
      <c r="S261" s="27"/>
      <c r="T261" s="27"/>
      <c r="U261" s="27"/>
      <c r="V261" s="27"/>
      <c r="W261" s="27"/>
      <c r="X261" s="27"/>
    </row>
    <row r="262" spans="1:24" x14ac:dyDescent="0.2">
      <c r="A262" s="27"/>
      <c r="B262" s="27"/>
      <c r="C262" s="27"/>
      <c r="D262" s="27"/>
      <c r="E262" s="27"/>
      <c r="F262" s="27"/>
      <c r="G262" s="27"/>
      <c r="H262" s="27"/>
      <c r="I262" s="27"/>
      <c r="J262" s="27"/>
      <c r="K262" s="27"/>
      <c r="L262" s="27"/>
      <c r="M262" s="27"/>
      <c r="N262" s="27"/>
      <c r="O262" s="27"/>
      <c r="P262" s="27"/>
      <c r="Q262" s="27"/>
      <c r="R262" s="27"/>
      <c r="S262" s="27"/>
      <c r="T262" s="27"/>
      <c r="U262" s="27"/>
      <c r="V262" s="27"/>
      <c r="W262" s="27"/>
      <c r="X262" s="27"/>
    </row>
    <row r="263" spans="1:24" x14ac:dyDescent="0.2">
      <c r="A263" s="27"/>
      <c r="B263" s="27"/>
      <c r="C263" s="27"/>
      <c r="D263" s="27"/>
      <c r="E263" s="27"/>
      <c r="F263" s="27"/>
      <c r="G263" s="27"/>
      <c r="H263" s="27"/>
      <c r="I263" s="27"/>
      <c r="J263" s="27"/>
      <c r="K263" s="27"/>
      <c r="L263" s="27"/>
      <c r="M263" s="27"/>
      <c r="N263" s="27"/>
      <c r="O263" s="27"/>
      <c r="P263" s="27"/>
      <c r="Q263" s="27"/>
      <c r="R263" s="27"/>
      <c r="S263" s="27"/>
      <c r="T263" s="27"/>
      <c r="U263" s="27"/>
      <c r="V263" s="27"/>
      <c r="W263" s="27"/>
      <c r="X263" s="27"/>
    </row>
    <row r="264" spans="1:24" x14ac:dyDescent="0.2">
      <c r="A264" s="27"/>
      <c r="B264" s="27"/>
      <c r="C264" s="27"/>
      <c r="D264" s="27"/>
      <c r="E264" s="27"/>
      <c r="F264" s="27"/>
      <c r="G264" s="27"/>
      <c r="H264" s="27"/>
      <c r="I264" s="27"/>
      <c r="J264" s="27"/>
      <c r="K264" s="27"/>
      <c r="L264" s="27"/>
      <c r="M264" s="27"/>
      <c r="N264" s="27"/>
      <c r="O264" s="27"/>
      <c r="P264" s="27"/>
      <c r="Q264" s="27"/>
      <c r="R264" s="27"/>
      <c r="S264" s="27"/>
      <c r="T264" s="27"/>
      <c r="U264" s="27"/>
      <c r="V264" s="27"/>
      <c r="W264" s="27"/>
      <c r="X264" s="27"/>
    </row>
    <row r="265" spans="1:24" x14ac:dyDescent="0.2">
      <c r="A265" s="27"/>
      <c r="B265" s="27"/>
      <c r="C265" s="27"/>
      <c r="D265" s="27"/>
      <c r="E265" s="27"/>
      <c r="F265" s="27"/>
      <c r="G265" s="27"/>
      <c r="H265" s="27"/>
      <c r="I265" s="27"/>
      <c r="J265" s="27"/>
      <c r="K265" s="27"/>
      <c r="L265" s="27"/>
      <c r="M265" s="27"/>
      <c r="N265" s="27"/>
      <c r="O265" s="27"/>
      <c r="P265" s="27"/>
      <c r="Q265" s="27"/>
      <c r="R265" s="27"/>
      <c r="S265" s="27"/>
      <c r="T265" s="27"/>
      <c r="U265" s="27"/>
      <c r="V265" s="27"/>
      <c r="W265" s="27"/>
      <c r="X265" s="27"/>
    </row>
    <row r="266" spans="1:24" x14ac:dyDescent="0.2">
      <c r="A266" s="27"/>
      <c r="B266" s="27"/>
      <c r="C266" s="27"/>
      <c r="D266" s="27"/>
      <c r="E266" s="27"/>
      <c r="F266" s="27"/>
      <c r="G266" s="27"/>
      <c r="H266" s="27"/>
      <c r="I266" s="27"/>
      <c r="J266" s="27"/>
      <c r="K266" s="27"/>
      <c r="L266" s="27"/>
      <c r="M266" s="27"/>
      <c r="N266" s="27"/>
      <c r="O266" s="27"/>
      <c r="P266" s="27"/>
      <c r="Q266" s="27"/>
      <c r="R266" s="27"/>
      <c r="S266" s="27"/>
      <c r="T266" s="27"/>
      <c r="U266" s="27"/>
      <c r="V266" s="27"/>
      <c r="W266" s="27"/>
      <c r="X266" s="27"/>
    </row>
    <row r="267" spans="1:24" x14ac:dyDescent="0.2">
      <c r="A267" s="27"/>
      <c r="B267" s="27"/>
      <c r="C267" s="27"/>
      <c r="D267" s="27"/>
      <c r="E267" s="27"/>
      <c r="F267" s="27"/>
      <c r="G267" s="27"/>
      <c r="H267" s="27"/>
      <c r="I267" s="27"/>
      <c r="J267" s="27"/>
      <c r="K267" s="27"/>
      <c r="L267" s="27"/>
      <c r="M267" s="27"/>
      <c r="N267" s="27"/>
      <c r="O267" s="27"/>
      <c r="P267" s="27"/>
      <c r="Q267" s="27"/>
      <c r="R267" s="27"/>
      <c r="S267" s="27"/>
      <c r="T267" s="27"/>
      <c r="U267" s="27"/>
      <c r="V267" s="27"/>
      <c r="W267" s="27"/>
      <c r="X267" s="27"/>
    </row>
    <row r="268" spans="1:24" x14ac:dyDescent="0.2">
      <c r="A268" s="27"/>
      <c r="B268" s="27"/>
      <c r="C268" s="27"/>
      <c r="D268" s="27"/>
      <c r="E268" s="27"/>
      <c r="F268" s="27"/>
      <c r="G268" s="27"/>
      <c r="H268" s="27"/>
      <c r="I268" s="27"/>
      <c r="J268" s="27"/>
      <c r="K268" s="27"/>
      <c r="L268" s="27"/>
      <c r="M268" s="27"/>
      <c r="N268" s="27"/>
      <c r="O268" s="27"/>
      <c r="P268" s="27"/>
      <c r="Q268" s="27"/>
      <c r="R268" s="27"/>
      <c r="S268" s="27"/>
      <c r="T268" s="27"/>
      <c r="U268" s="27"/>
      <c r="V268" s="27"/>
      <c r="W268" s="27"/>
      <c r="X268" s="27"/>
    </row>
    <row r="269" spans="1:24" x14ac:dyDescent="0.2">
      <c r="A269" s="27"/>
      <c r="B269" s="27"/>
      <c r="C269" s="27"/>
      <c r="D269" s="27"/>
      <c r="E269" s="27"/>
      <c r="F269" s="27"/>
      <c r="G269" s="27"/>
      <c r="H269" s="27"/>
      <c r="I269" s="27"/>
      <c r="J269" s="27"/>
      <c r="K269" s="27"/>
      <c r="L269" s="27"/>
      <c r="M269" s="27"/>
      <c r="N269" s="27"/>
      <c r="O269" s="27"/>
      <c r="P269" s="27"/>
      <c r="Q269" s="27"/>
      <c r="R269" s="27"/>
      <c r="S269" s="27"/>
      <c r="T269" s="27"/>
      <c r="U269" s="27"/>
      <c r="V269" s="27"/>
      <c r="W269" s="27"/>
      <c r="X269" s="27"/>
    </row>
    <row r="270" spans="1:24" x14ac:dyDescent="0.2">
      <c r="A270" s="27"/>
      <c r="B270" s="27"/>
      <c r="C270" s="27"/>
      <c r="D270" s="27"/>
      <c r="E270" s="27"/>
      <c r="F270" s="27"/>
      <c r="G270" s="27"/>
      <c r="H270" s="27"/>
      <c r="I270" s="27"/>
      <c r="J270" s="27"/>
      <c r="K270" s="27"/>
      <c r="L270" s="27"/>
      <c r="M270" s="27"/>
      <c r="N270" s="27"/>
      <c r="O270" s="27"/>
      <c r="P270" s="27"/>
      <c r="Q270" s="27"/>
      <c r="R270" s="27"/>
      <c r="S270" s="27"/>
      <c r="T270" s="27"/>
      <c r="U270" s="27"/>
      <c r="V270" s="27"/>
      <c r="W270" s="27"/>
      <c r="X270" s="27"/>
    </row>
    <row r="271" spans="1:24" x14ac:dyDescent="0.2">
      <c r="A271" s="27"/>
      <c r="B271" s="27"/>
      <c r="C271" s="27"/>
      <c r="D271" s="27"/>
      <c r="E271" s="27"/>
      <c r="F271" s="27"/>
      <c r="G271" s="27"/>
      <c r="H271" s="27"/>
      <c r="I271" s="27"/>
      <c r="J271" s="27"/>
      <c r="K271" s="27"/>
      <c r="L271" s="27"/>
      <c r="M271" s="27"/>
      <c r="N271" s="27"/>
      <c r="O271" s="27"/>
      <c r="P271" s="27"/>
      <c r="Q271" s="27"/>
      <c r="R271" s="27"/>
      <c r="S271" s="27"/>
      <c r="T271" s="27"/>
      <c r="U271" s="27"/>
      <c r="V271" s="27"/>
      <c r="W271" s="27"/>
      <c r="X271" s="27"/>
    </row>
    <row r="272" spans="1:24" x14ac:dyDescent="0.2">
      <c r="A272" s="27"/>
      <c r="B272" s="27"/>
      <c r="C272" s="27"/>
      <c r="D272" s="27"/>
      <c r="E272" s="27"/>
      <c r="F272" s="27"/>
      <c r="G272" s="27"/>
      <c r="H272" s="27"/>
      <c r="I272" s="27"/>
      <c r="J272" s="27"/>
      <c r="K272" s="27"/>
      <c r="L272" s="27"/>
      <c r="M272" s="27"/>
      <c r="N272" s="27"/>
      <c r="O272" s="27"/>
      <c r="P272" s="27"/>
      <c r="Q272" s="27"/>
      <c r="R272" s="27"/>
      <c r="S272" s="27"/>
      <c r="T272" s="27"/>
      <c r="U272" s="27"/>
      <c r="V272" s="27"/>
      <c r="W272" s="27"/>
      <c r="X272" s="27"/>
    </row>
    <row r="273" spans="1:24" x14ac:dyDescent="0.2">
      <c r="A273" s="27"/>
      <c r="B273" s="27"/>
      <c r="C273" s="27"/>
      <c r="D273" s="27"/>
      <c r="E273" s="27"/>
      <c r="F273" s="27"/>
      <c r="G273" s="27"/>
      <c r="H273" s="27"/>
      <c r="I273" s="27"/>
      <c r="J273" s="27"/>
      <c r="K273" s="27"/>
      <c r="L273" s="27"/>
      <c r="M273" s="27"/>
      <c r="N273" s="27"/>
      <c r="O273" s="27"/>
      <c r="P273" s="27"/>
      <c r="Q273" s="27"/>
      <c r="R273" s="27"/>
      <c r="S273" s="27"/>
      <c r="T273" s="27"/>
      <c r="U273" s="27"/>
      <c r="V273" s="27"/>
      <c r="W273" s="27"/>
      <c r="X273" s="27"/>
    </row>
    <row r="274" spans="1:24" x14ac:dyDescent="0.2">
      <c r="A274" s="27"/>
      <c r="B274" s="27"/>
      <c r="C274" s="27"/>
      <c r="D274" s="27"/>
      <c r="E274" s="27"/>
      <c r="F274" s="27"/>
      <c r="G274" s="27"/>
      <c r="H274" s="27"/>
      <c r="I274" s="27"/>
      <c r="J274" s="27"/>
      <c r="K274" s="27"/>
      <c r="L274" s="27"/>
      <c r="M274" s="27"/>
      <c r="N274" s="27"/>
      <c r="O274" s="27"/>
      <c r="P274" s="27"/>
      <c r="Q274" s="27"/>
      <c r="R274" s="27"/>
      <c r="S274" s="27"/>
      <c r="T274" s="27"/>
      <c r="U274" s="27"/>
      <c r="V274" s="27"/>
      <c r="W274" s="27"/>
      <c r="X274" s="27"/>
    </row>
    <row r="275" spans="1:24" x14ac:dyDescent="0.2">
      <c r="A275" s="27"/>
      <c r="B275" s="27"/>
      <c r="C275" s="27"/>
      <c r="D275" s="27"/>
      <c r="E275" s="27"/>
      <c r="F275" s="27"/>
      <c r="G275" s="27"/>
      <c r="H275" s="27"/>
      <c r="I275" s="27"/>
      <c r="J275" s="27"/>
      <c r="K275" s="27"/>
      <c r="L275" s="27"/>
      <c r="M275" s="27"/>
      <c r="N275" s="27"/>
      <c r="O275" s="27"/>
      <c r="P275" s="27"/>
      <c r="Q275" s="27"/>
      <c r="R275" s="27"/>
      <c r="S275" s="27"/>
      <c r="T275" s="27"/>
      <c r="U275" s="27"/>
      <c r="V275" s="27"/>
      <c r="W275" s="27"/>
      <c r="X275" s="27"/>
    </row>
    <row r="276" spans="1:24" x14ac:dyDescent="0.2">
      <c r="A276" s="27"/>
      <c r="B276" s="27"/>
      <c r="C276" s="27"/>
      <c r="D276" s="27"/>
      <c r="E276" s="27"/>
      <c r="F276" s="27"/>
      <c r="G276" s="27"/>
      <c r="H276" s="27"/>
      <c r="I276" s="27"/>
      <c r="J276" s="27"/>
      <c r="K276" s="27"/>
      <c r="L276" s="27"/>
      <c r="M276" s="27"/>
      <c r="N276" s="27"/>
      <c r="O276" s="27"/>
      <c r="P276" s="27"/>
      <c r="Q276" s="27"/>
      <c r="R276" s="27"/>
      <c r="S276" s="27"/>
      <c r="T276" s="27"/>
      <c r="U276" s="27"/>
      <c r="V276" s="27"/>
      <c r="W276" s="27"/>
      <c r="X276" s="27"/>
    </row>
    <row r="277" spans="1:24" x14ac:dyDescent="0.2">
      <c r="A277" s="27"/>
      <c r="B277" s="27"/>
      <c r="C277" s="27"/>
      <c r="D277" s="27"/>
      <c r="E277" s="27"/>
      <c r="F277" s="27"/>
      <c r="G277" s="27"/>
      <c r="H277" s="27"/>
      <c r="I277" s="27"/>
      <c r="J277" s="27"/>
      <c r="K277" s="27"/>
      <c r="L277" s="27"/>
      <c r="M277" s="27"/>
      <c r="N277" s="27"/>
      <c r="O277" s="27"/>
      <c r="P277" s="27"/>
      <c r="Q277" s="27"/>
      <c r="R277" s="27"/>
      <c r="S277" s="27"/>
      <c r="T277" s="27"/>
      <c r="U277" s="27"/>
      <c r="V277" s="27"/>
      <c r="W277" s="27"/>
      <c r="X277" s="27"/>
    </row>
    <row r="278" spans="1:24" x14ac:dyDescent="0.2">
      <c r="A278" s="27"/>
      <c r="B278" s="27"/>
      <c r="C278" s="27"/>
      <c r="D278" s="27"/>
      <c r="E278" s="27"/>
      <c r="F278" s="27"/>
      <c r="G278" s="27"/>
      <c r="H278" s="27"/>
      <c r="I278" s="27"/>
      <c r="J278" s="27"/>
      <c r="K278" s="27"/>
      <c r="L278" s="27"/>
      <c r="M278" s="27"/>
      <c r="N278" s="27"/>
      <c r="O278" s="27"/>
      <c r="P278" s="27"/>
      <c r="Q278" s="27"/>
      <c r="R278" s="27"/>
      <c r="S278" s="27"/>
      <c r="T278" s="27"/>
      <c r="U278" s="27"/>
      <c r="V278" s="27"/>
      <c r="W278" s="27"/>
      <c r="X278" s="27"/>
    </row>
    <row r="279" spans="1:24" x14ac:dyDescent="0.2">
      <c r="A279" s="27"/>
      <c r="B279" s="27"/>
      <c r="C279" s="27"/>
      <c r="D279" s="27"/>
      <c r="E279" s="27"/>
      <c r="F279" s="27"/>
      <c r="G279" s="27"/>
      <c r="H279" s="27"/>
      <c r="I279" s="27"/>
      <c r="J279" s="27"/>
      <c r="K279" s="27"/>
      <c r="L279" s="27"/>
      <c r="M279" s="27"/>
      <c r="N279" s="27"/>
      <c r="O279" s="27"/>
      <c r="P279" s="27"/>
      <c r="Q279" s="27"/>
      <c r="R279" s="27"/>
      <c r="S279" s="27"/>
      <c r="T279" s="27"/>
      <c r="U279" s="27"/>
      <c r="V279" s="27"/>
      <c r="W279" s="27"/>
      <c r="X279" s="27"/>
    </row>
    <row r="280" spans="1:24" x14ac:dyDescent="0.2">
      <c r="A280" s="27"/>
      <c r="B280" s="27"/>
      <c r="C280" s="27"/>
      <c r="D280" s="27"/>
      <c r="E280" s="27"/>
      <c r="F280" s="27"/>
      <c r="G280" s="27"/>
      <c r="H280" s="27"/>
      <c r="I280" s="27"/>
      <c r="J280" s="27"/>
      <c r="K280" s="27"/>
      <c r="L280" s="27"/>
      <c r="M280" s="27"/>
      <c r="N280" s="27"/>
      <c r="O280" s="27"/>
      <c r="P280" s="27"/>
      <c r="Q280" s="27"/>
      <c r="R280" s="27"/>
      <c r="S280" s="27"/>
      <c r="T280" s="27"/>
      <c r="U280" s="27"/>
      <c r="V280" s="27"/>
      <c r="W280" s="27"/>
      <c r="X280" s="27"/>
    </row>
    <row r="281" spans="1:24" x14ac:dyDescent="0.2">
      <c r="A281" s="27"/>
      <c r="B281" s="27"/>
      <c r="C281" s="27"/>
      <c r="D281" s="27"/>
      <c r="E281" s="27"/>
      <c r="F281" s="27"/>
      <c r="G281" s="27"/>
      <c r="H281" s="27"/>
      <c r="I281" s="27"/>
      <c r="J281" s="27"/>
      <c r="K281" s="27"/>
      <c r="L281" s="27"/>
      <c r="M281" s="27"/>
      <c r="N281" s="27"/>
      <c r="O281" s="27"/>
      <c r="P281" s="27"/>
      <c r="Q281" s="27"/>
      <c r="R281" s="27"/>
      <c r="S281" s="27"/>
      <c r="T281" s="27"/>
      <c r="U281" s="27"/>
      <c r="V281" s="27"/>
      <c r="W281" s="27"/>
      <c r="X281" s="27"/>
    </row>
    <row r="282" spans="1:24" x14ac:dyDescent="0.2">
      <c r="A282" s="27"/>
      <c r="B282" s="27"/>
      <c r="C282" s="27"/>
      <c r="D282" s="27"/>
      <c r="E282" s="27"/>
      <c r="F282" s="27"/>
      <c r="G282" s="27"/>
      <c r="H282" s="27"/>
      <c r="I282" s="27"/>
      <c r="J282" s="27"/>
      <c r="K282" s="27"/>
      <c r="L282" s="27"/>
      <c r="M282" s="27"/>
      <c r="N282" s="27"/>
      <c r="O282" s="27"/>
      <c r="P282" s="27"/>
      <c r="Q282" s="27"/>
      <c r="R282" s="27"/>
      <c r="S282" s="27"/>
      <c r="T282" s="27"/>
      <c r="U282" s="27"/>
      <c r="V282" s="27"/>
      <c r="W282" s="27"/>
      <c r="X282" s="27"/>
    </row>
    <row r="283" spans="1:24" x14ac:dyDescent="0.2">
      <c r="A283" s="27"/>
      <c r="B283" s="27"/>
      <c r="C283" s="27"/>
      <c r="D283" s="27"/>
      <c r="E283" s="27"/>
      <c r="F283" s="27"/>
      <c r="G283" s="27"/>
      <c r="H283" s="27"/>
      <c r="I283" s="27"/>
      <c r="J283" s="27"/>
      <c r="K283" s="27"/>
      <c r="L283" s="27"/>
      <c r="M283" s="27"/>
      <c r="N283" s="27"/>
      <c r="O283" s="27"/>
      <c r="P283" s="27"/>
      <c r="Q283" s="27"/>
      <c r="R283" s="27"/>
      <c r="S283" s="27"/>
      <c r="T283" s="27"/>
      <c r="U283" s="27"/>
      <c r="V283" s="27"/>
      <c r="W283" s="27"/>
      <c r="X283" s="27"/>
    </row>
    <row r="284" spans="1:24" x14ac:dyDescent="0.2">
      <c r="A284" s="27"/>
      <c r="B284" s="27"/>
      <c r="C284" s="27"/>
      <c r="D284" s="27"/>
      <c r="E284" s="27"/>
      <c r="F284" s="27"/>
      <c r="G284" s="27"/>
      <c r="H284" s="27"/>
      <c r="I284" s="27"/>
      <c r="J284" s="27"/>
      <c r="K284" s="27"/>
      <c r="L284" s="27"/>
      <c r="M284" s="27"/>
      <c r="N284" s="27"/>
      <c r="O284" s="27"/>
      <c r="P284" s="27"/>
      <c r="Q284" s="27"/>
      <c r="R284" s="27"/>
      <c r="S284" s="27"/>
      <c r="T284" s="27"/>
      <c r="U284" s="27"/>
      <c r="V284" s="27"/>
      <c r="W284" s="27"/>
      <c r="X284" s="27"/>
    </row>
    <row r="285" spans="1:24" x14ac:dyDescent="0.2">
      <c r="A285" s="27"/>
      <c r="B285" s="27"/>
      <c r="C285" s="27"/>
      <c r="D285" s="27"/>
      <c r="E285" s="27"/>
      <c r="F285" s="27"/>
      <c r="G285" s="27"/>
      <c r="H285" s="27"/>
      <c r="I285" s="27"/>
      <c r="J285" s="27"/>
      <c r="K285" s="27"/>
      <c r="L285" s="27"/>
      <c r="M285" s="27"/>
      <c r="N285" s="27"/>
      <c r="O285" s="27"/>
      <c r="P285" s="27"/>
      <c r="Q285" s="27"/>
      <c r="R285" s="27"/>
      <c r="S285" s="27"/>
      <c r="T285" s="27"/>
      <c r="U285" s="27"/>
      <c r="V285" s="27"/>
      <c r="W285" s="27"/>
      <c r="X285" s="27"/>
    </row>
    <row r="286" spans="1:24" x14ac:dyDescent="0.2">
      <c r="A286" s="27"/>
      <c r="B286" s="27"/>
      <c r="C286" s="27"/>
      <c r="D286" s="27"/>
      <c r="E286" s="27"/>
      <c r="F286" s="27"/>
      <c r="G286" s="27"/>
      <c r="H286" s="27"/>
      <c r="I286" s="27"/>
      <c r="J286" s="27"/>
      <c r="K286" s="27"/>
      <c r="L286" s="27"/>
      <c r="M286" s="27"/>
      <c r="N286" s="27"/>
      <c r="O286" s="27"/>
      <c r="P286" s="27"/>
      <c r="Q286" s="27"/>
      <c r="R286" s="27"/>
      <c r="S286" s="27"/>
      <c r="T286" s="27"/>
      <c r="U286" s="27"/>
      <c r="V286" s="27"/>
      <c r="W286" s="27"/>
      <c r="X286" s="27"/>
    </row>
    <row r="287" spans="1:24" x14ac:dyDescent="0.2">
      <c r="A287" s="27"/>
      <c r="B287" s="27"/>
      <c r="C287" s="27"/>
      <c r="D287" s="27"/>
      <c r="E287" s="27"/>
      <c r="F287" s="27"/>
      <c r="G287" s="27"/>
      <c r="H287" s="27"/>
      <c r="I287" s="27"/>
      <c r="J287" s="27"/>
      <c r="K287" s="27"/>
      <c r="L287" s="27"/>
      <c r="M287" s="27"/>
      <c r="N287" s="27"/>
      <c r="O287" s="27"/>
      <c r="P287" s="27"/>
      <c r="Q287" s="27"/>
      <c r="R287" s="27"/>
      <c r="S287" s="27"/>
      <c r="T287" s="27"/>
      <c r="U287" s="27"/>
      <c r="V287" s="27"/>
      <c r="W287" s="27"/>
      <c r="X287" s="27"/>
    </row>
    <row r="288" spans="1:24" x14ac:dyDescent="0.2">
      <c r="A288" s="27"/>
      <c r="B288" s="27"/>
      <c r="C288" s="27"/>
      <c r="D288" s="27"/>
      <c r="E288" s="27"/>
      <c r="F288" s="27"/>
      <c r="G288" s="27"/>
      <c r="H288" s="27"/>
      <c r="I288" s="27"/>
      <c r="J288" s="27"/>
      <c r="K288" s="27"/>
      <c r="L288" s="27"/>
      <c r="M288" s="27"/>
      <c r="N288" s="27"/>
      <c r="O288" s="27"/>
      <c r="P288" s="27"/>
      <c r="Q288" s="27"/>
      <c r="R288" s="27"/>
      <c r="S288" s="27"/>
      <c r="T288" s="27"/>
      <c r="U288" s="27"/>
      <c r="V288" s="27"/>
      <c r="W288" s="27"/>
      <c r="X288" s="27"/>
    </row>
    <row r="289" spans="1:24" x14ac:dyDescent="0.2">
      <c r="A289" s="27"/>
      <c r="B289" s="27"/>
      <c r="C289" s="27"/>
      <c r="D289" s="27"/>
      <c r="E289" s="27"/>
      <c r="F289" s="27"/>
      <c r="G289" s="27"/>
      <c r="H289" s="27"/>
      <c r="I289" s="27"/>
      <c r="J289" s="27"/>
      <c r="K289" s="27"/>
      <c r="L289" s="27"/>
      <c r="M289" s="27"/>
      <c r="N289" s="27"/>
      <c r="O289" s="27"/>
      <c r="P289" s="27"/>
      <c r="Q289" s="27"/>
      <c r="R289" s="27"/>
      <c r="S289" s="27"/>
      <c r="T289" s="27"/>
      <c r="U289" s="27"/>
      <c r="V289" s="27"/>
      <c r="W289" s="27"/>
      <c r="X289" s="27"/>
    </row>
    <row r="290" spans="1:24" x14ac:dyDescent="0.2">
      <c r="A290" s="27"/>
      <c r="B290" s="27"/>
      <c r="C290" s="27"/>
      <c r="D290" s="27"/>
      <c r="E290" s="27"/>
      <c r="F290" s="27"/>
      <c r="G290" s="27"/>
      <c r="H290" s="27"/>
      <c r="I290" s="27"/>
      <c r="J290" s="27"/>
      <c r="K290" s="27"/>
      <c r="L290" s="27"/>
      <c r="M290" s="27"/>
      <c r="N290" s="27"/>
      <c r="O290" s="27"/>
      <c r="P290" s="27"/>
      <c r="Q290" s="27"/>
      <c r="R290" s="27"/>
      <c r="S290" s="27"/>
      <c r="T290" s="27"/>
      <c r="U290" s="27"/>
      <c r="V290" s="27"/>
      <c r="W290" s="27"/>
      <c r="X290" s="27"/>
    </row>
    <row r="291" spans="1:24" x14ac:dyDescent="0.2">
      <c r="A291" s="27"/>
      <c r="B291" s="27"/>
      <c r="C291" s="27"/>
      <c r="D291" s="27"/>
      <c r="E291" s="27"/>
      <c r="F291" s="27"/>
      <c r="G291" s="27"/>
      <c r="H291" s="27"/>
      <c r="I291" s="27"/>
      <c r="J291" s="27"/>
      <c r="K291" s="27"/>
      <c r="L291" s="27"/>
      <c r="M291" s="27"/>
      <c r="N291" s="27"/>
      <c r="O291" s="27"/>
      <c r="P291" s="27"/>
      <c r="Q291" s="27"/>
      <c r="R291" s="27"/>
      <c r="S291" s="27"/>
      <c r="T291" s="27"/>
      <c r="U291" s="27"/>
      <c r="V291" s="27"/>
      <c r="W291" s="27"/>
      <c r="X291" s="27"/>
    </row>
    <row r="292" spans="1:24" x14ac:dyDescent="0.2">
      <c r="A292" s="27"/>
      <c r="B292" s="27"/>
      <c r="C292" s="27"/>
      <c r="D292" s="27"/>
      <c r="E292" s="27"/>
      <c r="F292" s="27"/>
      <c r="G292" s="27"/>
      <c r="H292" s="27"/>
      <c r="I292" s="27"/>
      <c r="J292" s="27"/>
      <c r="K292" s="27"/>
      <c r="L292" s="27"/>
      <c r="M292" s="27"/>
      <c r="N292" s="27"/>
      <c r="O292" s="27"/>
      <c r="P292" s="27"/>
      <c r="Q292" s="27"/>
      <c r="R292" s="27"/>
      <c r="S292" s="27"/>
      <c r="T292" s="27"/>
      <c r="U292" s="27"/>
      <c r="V292" s="27"/>
      <c r="W292" s="27"/>
      <c r="X292" s="27"/>
    </row>
    <row r="293" spans="1:24" x14ac:dyDescent="0.2">
      <c r="A293" s="27"/>
      <c r="B293" s="27"/>
      <c r="C293" s="27"/>
      <c r="D293" s="27"/>
      <c r="E293" s="27"/>
      <c r="F293" s="27"/>
      <c r="G293" s="27"/>
      <c r="H293" s="27"/>
      <c r="I293" s="27"/>
      <c r="J293" s="27"/>
      <c r="K293" s="27"/>
      <c r="L293" s="27"/>
      <c r="M293" s="27"/>
      <c r="N293" s="27"/>
      <c r="O293" s="27"/>
      <c r="P293" s="27"/>
      <c r="Q293" s="27"/>
      <c r="R293" s="27"/>
      <c r="S293" s="27"/>
      <c r="T293" s="27"/>
      <c r="U293" s="27"/>
      <c r="V293" s="27"/>
      <c r="W293" s="27"/>
      <c r="X293" s="27"/>
    </row>
    <row r="294" spans="1:24" x14ac:dyDescent="0.2">
      <c r="A294" s="27"/>
      <c r="B294" s="27"/>
      <c r="C294" s="27"/>
      <c r="D294" s="27"/>
      <c r="E294" s="27"/>
      <c r="F294" s="27"/>
      <c r="G294" s="27"/>
      <c r="H294" s="27"/>
      <c r="I294" s="27"/>
      <c r="J294" s="27"/>
      <c r="K294" s="27"/>
      <c r="L294" s="27"/>
      <c r="M294" s="27"/>
      <c r="N294" s="27"/>
      <c r="O294" s="27"/>
      <c r="P294" s="27"/>
      <c r="Q294" s="27"/>
      <c r="R294" s="27"/>
      <c r="S294" s="27"/>
      <c r="T294" s="27"/>
      <c r="U294" s="27"/>
      <c r="V294" s="27"/>
      <c r="W294" s="27"/>
      <c r="X294" s="27"/>
    </row>
    <row r="295" spans="1:24" x14ac:dyDescent="0.2">
      <c r="A295" s="27"/>
      <c r="B295" s="27"/>
      <c r="C295" s="27"/>
      <c r="D295" s="27"/>
      <c r="E295" s="27"/>
      <c r="F295" s="27"/>
      <c r="G295" s="27"/>
      <c r="H295" s="27"/>
      <c r="I295" s="27"/>
      <c r="J295" s="27"/>
      <c r="K295" s="27"/>
      <c r="L295" s="27"/>
      <c r="M295" s="27"/>
      <c r="N295" s="27"/>
      <c r="O295" s="27"/>
      <c r="P295" s="27"/>
      <c r="Q295" s="27"/>
      <c r="R295" s="27"/>
      <c r="S295" s="27"/>
      <c r="T295" s="27"/>
      <c r="U295" s="27"/>
      <c r="V295" s="27"/>
      <c r="W295" s="27"/>
      <c r="X295" s="27"/>
    </row>
    <row r="296" spans="1:24" x14ac:dyDescent="0.2">
      <c r="A296" s="27"/>
      <c r="B296" s="27"/>
      <c r="C296" s="27"/>
      <c r="D296" s="27"/>
      <c r="E296" s="27"/>
      <c r="F296" s="27"/>
      <c r="G296" s="27"/>
      <c r="H296" s="27"/>
      <c r="I296" s="27"/>
      <c r="J296" s="27"/>
      <c r="K296" s="27"/>
      <c r="L296" s="27"/>
      <c r="M296" s="27"/>
      <c r="N296" s="27"/>
      <c r="O296" s="27"/>
      <c r="P296" s="27"/>
      <c r="Q296" s="27"/>
      <c r="R296" s="27"/>
      <c r="S296" s="27"/>
      <c r="T296" s="27"/>
      <c r="U296" s="27"/>
      <c r="V296" s="27"/>
      <c r="W296" s="27"/>
      <c r="X296" s="27"/>
    </row>
    <row r="297" spans="1:24" x14ac:dyDescent="0.2">
      <c r="A297" s="27"/>
      <c r="B297" s="27"/>
      <c r="C297" s="27"/>
      <c r="D297" s="27"/>
      <c r="E297" s="27"/>
      <c r="F297" s="27"/>
      <c r="G297" s="27"/>
      <c r="H297" s="27"/>
      <c r="I297" s="27"/>
      <c r="J297" s="27"/>
      <c r="K297" s="27"/>
      <c r="L297" s="27"/>
      <c r="M297" s="27"/>
      <c r="N297" s="27"/>
      <c r="O297" s="27"/>
      <c r="P297" s="27"/>
      <c r="Q297" s="27"/>
      <c r="R297" s="27"/>
      <c r="S297" s="27"/>
      <c r="T297" s="27"/>
      <c r="U297" s="27"/>
      <c r="V297" s="27"/>
      <c r="W297" s="27"/>
      <c r="X297" s="27"/>
    </row>
    <row r="298" spans="1:24" x14ac:dyDescent="0.2">
      <c r="A298" s="27"/>
      <c r="B298" s="27"/>
      <c r="C298" s="27"/>
      <c r="D298" s="27"/>
      <c r="E298" s="27"/>
      <c r="F298" s="27"/>
      <c r="G298" s="27"/>
      <c r="H298" s="27"/>
      <c r="I298" s="27"/>
      <c r="J298" s="27"/>
      <c r="K298" s="27"/>
      <c r="L298" s="27"/>
      <c r="M298" s="27"/>
      <c r="N298" s="27"/>
      <c r="O298" s="27"/>
      <c r="P298" s="27"/>
      <c r="Q298" s="27"/>
      <c r="R298" s="27"/>
      <c r="S298" s="27"/>
      <c r="T298" s="27"/>
      <c r="U298" s="27"/>
      <c r="V298" s="27"/>
      <c r="W298" s="27"/>
      <c r="X298" s="27"/>
    </row>
    <row r="299" spans="1:24" x14ac:dyDescent="0.2">
      <c r="A299" s="27"/>
      <c r="B299" s="27"/>
      <c r="C299" s="27"/>
      <c r="D299" s="27"/>
      <c r="E299" s="27"/>
      <c r="F299" s="27"/>
      <c r="G299" s="27"/>
      <c r="H299" s="27"/>
      <c r="I299" s="27"/>
      <c r="J299" s="27"/>
      <c r="K299" s="27"/>
      <c r="L299" s="27"/>
      <c r="M299" s="27"/>
      <c r="N299" s="27"/>
      <c r="O299" s="27"/>
      <c r="P299" s="27"/>
      <c r="Q299" s="27"/>
      <c r="R299" s="27"/>
      <c r="S299" s="27"/>
      <c r="T299" s="27"/>
      <c r="U299" s="27"/>
      <c r="V299" s="27"/>
      <c r="W299" s="27"/>
      <c r="X299" s="27"/>
    </row>
    <row r="300" spans="1:24" x14ac:dyDescent="0.2">
      <c r="A300" s="27"/>
      <c r="B300" s="27"/>
      <c r="C300" s="27"/>
      <c r="D300" s="27"/>
      <c r="E300" s="27"/>
      <c r="F300" s="27"/>
      <c r="G300" s="27"/>
      <c r="H300" s="27"/>
      <c r="I300" s="27"/>
      <c r="J300" s="27"/>
      <c r="K300" s="27"/>
      <c r="L300" s="27"/>
      <c r="M300" s="27"/>
      <c r="N300" s="27"/>
      <c r="O300" s="27"/>
      <c r="P300" s="27"/>
      <c r="Q300" s="27"/>
      <c r="R300" s="27"/>
      <c r="S300" s="27"/>
      <c r="T300" s="27"/>
      <c r="U300" s="27"/>
      <c r="V300" s="27"/>
      <c r="W300" s="27"/>
      <c r="X300" s="27"/>
    </row>
    <row r="301" spans="1:24" x14ac:dyDescent="0.2">
      <c r="A301" s="27"/>
      <c r="B301" s="27"/>
      <c r="C301" s="27"/>
      <c r="D301" s="27"/>
      <c r="E301" s="27"/>
      <c r="F301" s="27"/>
      <c r="G301" s="27"/>
      <c r="H301" s="27"/>
      <c r="I301" s="27"/>
      <c r="J301" s="27"/>
      <c r="K301" s="27"/>
      <c r="L301" s="27"/>
      <c r="M301" s="27"/>
      <c r="N301" s="27"/>
      <c r="O301" s="27"/>
      <c r="P301" s="27"/>
      <c r="Q301" s="27"/>
      <c r="R301" s="27"/>
      <c r="S301" s="27"/>
      <c r="T301" s="27"/>
      <c r="U301" s="27"/>
      <c r="V301" s="27"/>
      <c r="W301" s="27"/>
      <c r="X301" s="27"/>
    </row>
    <row r="302" spans="1:24" x14ac:dyDescent="0.2">
      <c r="A302" s="27"/>
      <c r="B302" s="27"/>
      <c r="C302" s="27"/>
      <c r="D302" s="27"/>
      <c r="E302" s="27"/>
      <c r="F302" s="27"/>
      <c r="G302" s="27"/>
      <c r="H302" s="27"/>
      <c r="I302" s="27"/>
      <c r="J302" s="27"/>
      <c r="K302" s="27"/>
      <c r="L302" s="27"/>
      <c r="M302" s="27"/>
      <c r="N302" s="27"/>
      <c r="O302" s="27"/>
      <c r="P302" s="27"/>
      <c r="Q302" s="27"/>
      <c r="R302" s="27"/>
      <c r="S302" s="27"/>
      <c r="T302" s="27"/>
      <c r="U302" s="27"/>
      <c r="V302" s="27"/>
      <c r="W302" s="27"/>
      <c r="X302" s="27"/>
    </row>
    <row r="303" spans="1:24" x14ac:dyDescent="0.2">
      <c r="A303" s="27"/>
      <c r="B303" s="27"/>
      <c r="C303" s="27"/>
      <c r="D303" s="27"/>
      <c r="E303" s="27"/>
      <c r="F303" s="27"/>
      <c r="G303" s="27"/>
      <c r="H303" s="27"/>
      <c r="I303" s="27"/>
      <c r="J303" s="27"/>
      <c r="K303" s="27"/>
      <c r="L303" s="27"/>
      <c r="M303" s="27"/>
      <c r="N303" s="27"/>
      <c r="O303" s="27"/>
      <c r="P303" s="27"/>
      <c r="Q303" s="27"/>
      <c r="R303" s="27"/>
      <c r="S303" s="27"/>
      <c r="T303" s="27"/>
      <c r="U303" s="27"/>
      <c r="V303" s="27"/>
      <c r="W303" s="27"/>
      <c r="X303" s="27"/>
    </row>
    <row r="304" spans="1:24" x14ac:dyDescent="0.2">
      <c r="A304" s="27"/>
      <c r="B304" s="27"/>
      <c r="C304" s="27"/>
      <c r="D304" s="27"/>
      <c r="E304" s="27"/>
      <c r="F304" s="27"/>
      <c r="G304" s="27"/>
      <c r="H304" s="27"/>
      <c r="I304" s="27"/>
      <c r="J304" s="27"/>
      <c r="K304" s="27"/>
      <c r="L304" s="27"/>
      <c r="M304" s="27"/>
      <c r="N304" s="27"/>
      <c r="O304" s="27"/>
      <c r="P304" s="27"/>
      <c r="Q304" s="27"/>
      <c r="R304" s="27"/>
      <c r="S304" s="27"/>
      <c r="T304" s="27"/>
      <c r="U304" s="27"/>
      <c r="V304" s="27"/>
      <c r="W304" s="27"/>
      <c r="X304" s="27"/>
    </row>
    <row r="305" spans="1:24" x14ac:dyDescent="0.2">
      <c r="A305" s="27"/>
      <c r="B305" s="27"/>
      <c r="C305" s="27"/>
      <c r="D305" s="27"/>
      <c r="E305" s="27"/>
      <c r="F305" s="27"/>
      <c r="G305" s="27"/>
      <c r="H305" s="27"/>
      <c r="I305" s="27"/>
      <c r="J305" s="27"/>
      <c r="K305" s="27"/>
      <c r="L305" s="27"/>
      <c r="M305" s="27"/>
      <c r="N305" s="27"/>
      <c r="O305" s="27"/>
      <c r="P305" s="27"/>
      <c r="Q305" s="27"/>
      <c r="R305" s="27"/>
      <c r="S305" s="27"/>
      <c r="T305" s="27"/>
      <c r="U305" s="27"/>
      <c r="V305" s="27"/>
      <c r="W305" s="27"/>
      <c r="X305" s="27"/>
    </row>
    <row r="306" spans="1:24" x14ac:dyDescent="0.2">
      <c r="A306" s="27"/>
      <c r="B306" s="27"/>
      <c r="C306" s="27"/>
      <c r="D306" s="27"/>
      <c r="E306" s="27"/>
      <c r="F306" s="27"/>
      <c r="G306" s="27"/>
      <c r="H306" s="27"/>
      <c r="I306" s="27"/>
      <c r="J306" s="27"/>
      <c r="K306" s="27"/>
      <c r="L306" s="27"/>
      <c r="M306" s="27"/>
      <c r="N306" s="27"/>
      <c r="O306" s="27"/>
      <c r="P306" s="27"/>
      <c r="Q306" s="27"/>
      <c r="R306" s="27"/>
      <c r="S306" s="27"/>
      <c r="T306" s="27"/>
      <c r="U306" s="27"/>
      <c r="V306" s="27"/>
      <c r="W306" s="27"/>
      <c r="X306" s="27"/>
    </row>
    <row r="307" spans="1:24" x14ac:dyDescent="0.2">
      <c r="A307" s="27"/>
      <c r="B307" s="27"/>
      <c r="C307" s="27"/>
      <c r="D307" s="27"/>
      <c r="E307" s="27"/>
      <c r="F307" s="27"/>
      <c r="G307" s="27"/>
      <c r="H307" s="27"/>
      <c r="I307" s="27"/>
      <c r="J307" s="27"/>
      <c r="K307" s="27"/>
      <c r="L307" s="27"/>
      <c r="M307" s="27"/>
      <c r="N307" s="27"/>
      <c r="O307" s="27"/>
      <c r="P307" s="27"/>
      <c r="Q307" s="27"/>
      <c r="R307" s="27"/>
      <c r="S307" s="27"/>
      <c r="T307" s="27"/>
      <c r="U307" s="27"/>
      <c r="V307" s="27"/>
      <c r="W307" s="27"/>
      <c r="X307" s="27"/>
    </row>
    <row r="308" spans="1:24" x14ac:dyDescent="0.2">
      <c r="A308" s="27"/>
      <c r="B308" s="27"/>
      <c r="C308" s="27"/>
      <c r="D308" s="27"/>
      <c r="E308" s="27"/>
      <c r="F308" s="27"/>
      <c r="G308" s="27"/>
      <c r="H308" s="27"/>
      <c r="I308" s="27"/>
      <c r="J308" s="27"/>
      <c r="K308" s="27"/>
      <c r="L308" s="27"/>
      <c r="M308" s="27"/>
      <c r="N308" s="27"/>
      <c r="O308" s="27"/>
      <c r="P308" s="27"/>
      <c r="Q308" s="27"/>
      <c r="R308" s="27"/>
      <c r="S308" s="27"/>
      <c r="T308" s="27"/>
      <c r="U308" s="27"/>
      <c r="V308" s="27"/>
      <c r="W308" s="27"/>
      <c r="X308" s="27"/>
    </row>
    <row r="309" spans="1:24" x14ac:dyDescent="0.2">
      <c r="A309" s="27"/>
      <c r="B309" s="27"/>
      <c r="C309" s="27"/>
      <c r="D309" s="27"/>
      <c r="E309" s="27"/>
      <c r="F309" s="27"/>
      <c r="G309" s="27"/>
      <c r="H309" s="27"/>
      <c r="I309" s="27"/>
      <c r="J309" s="27"/>
      <c r="K309" s="27"/>
      <c r="L309" s="27"/>
      <c r="M309" s="27"/>
      <c r="N309" s="27"/>
      <c r="O309" s="27"/>
      <c r="P309" s="27"/>
      <c r="Q309" s="27"/>
      <c r="R309" s="27"/>
      <c r="S309" s="27"/>
      <c r="T309" s="27"/>
      <c r="U309" s="27"/>
      <c r="V309" s="27"/>
      <c r="W309" s="27"/>
      <c r="X309" s="27"/>
    </row>
    <row r="310" spans="1:24" x14ac:dyDescent="0.2">
      <c r="A310" s="27"/>
      <c r="B310" s="27"/>
      <c r="C310" s="27"/>
      <c r="D310" s="27"/>
      <c r="E310" s="27"/>
      <c r="F310" s="27"/>
      <c r="G310" s="27"/>
      <c r="H310" s="27"/>
      <c r="I310" s="27"/>
      <c r="J310" s="27"/>
      <c r="K310" s="27"/>
      <c r="L310" s="27"/>
      <c r="M310" s="27"/>
      <c r="N310" s="27"/>
      <c r="O310" s="27"/>
      <c r="P310" s="27"/>
      <c r="Q310" s="27"/>
      <c r="R310" s="27"/>
      <c r="S310" s="27"/>
      <c r="T310" s="27"/>
      <c r="U310" s="27"/>
      <c r="V310" s="27"/>
      <c r="W310" s="27"/>
      <c r="X310" s="27"/>
    </row>
    <row r="311" spans="1:24" x14ac:dyDescent="0.2">
      <c r="A311" s="27"/>
      <c r="B311" s="27"/>
      <c r="C311" s="27"/>
      <c r="D311" s="27"/>
      <c r="E311" s="27"/>
      <c r="F311" s="27"/>
      <c r="G311" s="27"/>
      <c r="H311" s="27"/>
      <c r="I311" s="27"/>
      <c r="J311" s="27"/>
      <c r="K311" s="27"/>
      <c r="L311" s="27"/>
      <c r="M311" s="27"/>
      <c r="N311" s="27"/>
      <c r="O311" s="27"/>
      <c r="P311" s="27"/>
      <c r="Q311" s="27"/>
      <c r="R311" s="27"/>
      <c r="S311" s="27"/>
      <c r="T311" s="27"/>
      <c r="U311" s="27"/>
      <c r="V311" s="27"/>
      <c r="W311" s="27"/>
      <c r="X311" s="27"/>
    </row>
    <row r="312" spans="1:24" x14ac:dyDescent="0.2">
      <c r="A312" s="27"/>
      <c r="B312" s="27"/>
      <c r="C312" s="27"/>
      <c r="D312" s="27"/>
      <c r="E312" s="27"/>
      <c r="F312" s="27"/>
      <c r="G312" s="27"/>
      <c r="H312" s="27"/>
      <c r="I312" s="27"/>
      <c r="J312" s="27"/>
      <c r="K312" s="27"/>
      <c r="L312" s="27"/>
      <c r="M312" s="27"/>
      <c r="N312" s="27"/>
      <c r="O312" s="27"/>
      <c r="P312" s="27"/>
      <c r="Q312" s="27"/>
      <c r="R312" s="27"/>
      <c r="S312" s="27"/>
      <c r="T312" s="27"/>
      <c r="U312" s="27"/>
      <c r="V312" s="27"/>
      <c r="W312" s="27"/>
      <c r="X312" s="27"/>
    </row>
    <row r="313" spans="1:24" x14ac:dyDescent="0.2">
      <c r="A313" s="27"/>
      <c r="B313" s="27"/>
      <c r="C313" s="27"/>
      <c r="D313" s="27"/>
      <c r="E313" s="27"/>
      <c r="F313" s="27"/>
      <c r="G313" s="27"/>
      <c r="H313" s="27"/>
      <c r="I313" s="27"/>
      <c r="J313" s="27"/>
      <c r="K313" s="27"/>
      <c r="L313" s="27"/>
      <c r="M313" s="27"/>
      <c r="N313" s="27"/>
      <c r="O313" s="27"/>
      <c r="P313" s="27"/>
      <c r="Q313" s="27"/>
      <c r="R313" s="27"/>
      <c r="S313" s="27"/>
      <c r="T313" s="27"/>
      <c r="U313" s="27"/>
      <c r="V313" s="27"/>
      <c r="W313" s="27"/>
      <c r="X313" s="27"/>
    </row>
    <row r="314" spans="1:24" x14ac:dyDescent="0.2">
      <c r="A314" s="27"/>
      <c r="B314" s="27"/>
      <c r="C314" s="27"/>
      <c r="D314" s="27"/>
      <c r="E314" s="27"/>
      <c r="F314" s="27"/>
      <c r="G314" s="27"/>
      <c r="H314" s="27"/>
      <c r="I314" s="27"/>
      <c r="J314" s="27"/>
      <c r="K314" s="27"/>
      <c r="L314" s="27"/>
      <c r="M314" s="27"/>
      <c r="N314" s="27"/>
      <c r="O314" s="27"/>
      <c r="P314" s="27"/>
      <c r="Q314" s="27"/>
      <c r="R314" s="27"/>
      <c r="S314" s="27"/>
      <c r="T314" s="27"/>
      <c r="U314" s="27"/>
      <c r="V314" s="27"/>
      <c r="W314" s="27"/>
      <c r="X314" s="27"/>
    </row>
    <row r="315" spans="1:24" x14ac:dyDescent="0.2">
      <c r="A315" s="27"/>
      <c r="B315" s="27"/>
      <c r="C315" s="27"/>
      <c r="D315" s="27"/>
      <c r="E315" s="27"/>
      <c r="F315" s="27"/>
      <c r="G315" s="27"/>
      <c r="H315" s="27"/>
      <c r="I315" s="27"/>
      <c r="J315" s="27"/>
      <c r="K315" s="27"/>
      <c r="L315" s="27"/>
      <c r="M315" s="27"/>
      <c r="N315" s="27"/>
      <c r="O315" s="27"/>
      <c r="P315" s="27"/>
      <c r="Q315" s="27"/>
      <c r="R315" s="27"/>
      <c r="S315" s="27"/>
      <c r="T315" s="27"/>
      <c r="U315" s="27"/>
      <c r="V315" s="27"/>
      <c r="W315" s="27"/>
      <c r="X315" s="27"/>
    </row>
    <row r="316" spans="1:24" x14ac:dyDescent="0.2">
      <c r="A316" s="27"/>
      <c r="B316" s="27"/>
      <c r="C316" s="27"/>
      <c r="D316" s="27"/>
      <c r="E316" s="27"/>
      <c r="F316" s="27"/>
      <c r="G316" s="27"/>
      <c r="H316" s="27"/>
      <c r="I316" s="27"/>
      <c r="J316" s="27"/>
      <c r="K316" s="27"/>
      <c r="L316" s="27"/>
      <c r="M316" s="27"/>
      <c r="N316" s="27"/>
      <c r="O316" s="27"/>
      <c r="P316" s="27"/>
      <c r="Q316" s="27"/>
      <c r="R316" s="27"/>
      <c r="S316" s="27"/>
      <c r="T316" s="27"/>
      <c r="U316" s="27"/>
      <c r="V316" s="27"/>
      <c r="W316" s="27"/>
      <c r="X316" s="27"/>
    </row>
    <row r="317" spans="1:24" x14ac:dyDescent="0.2">
      <c r="A317" s="27"/>
      <c r="B317" s="27"/>
      <c r="C317" s="27"/>
      <c r="D317" s="27"/>
      <c r="E317" s="27"/>
      <c r="F317" s="27"/>
      <c r="G317" s="27"/>
      <c r="H317" s="27"/>
      <c r="I317" s="27"/>
      <c r="J317" s="27"/>
      <c r="K317" s="27"/>
      <c r="L317" s="27"/>
      <c r="M317" s="27"/>
      <c r="N317" s="27"/>
      <c r="O317" s="27"/>
      <c r="P317" s="27"/>
      <c r="Q317" s="27"/>
      <c r="R317" s="27"/>
      <c r="S317" s="27"/>
      <c r="T317" s="27"/>
      <c r="U317" s="27"/>
      <c r="V317" s="27"/>
      <c r="W317" s="27"/>
      <c r="X317" s="27"/>
    </row>
    <row r="318" spans="1:24" x14ac:dyDescent="0.2">
      <c r="A318" s="27"/>
      <c r="B318" s="27"/>
      <c r="C318" s="27"/>
      <c r="D318" s="27"/>
      <c r="E318" s="27"/>
      <c r="F318" s="27"/>
      <c r="G318" s="27"/>
      <c r="H318" s="27"/>
      <c r="I318" s="27"/>
      <c r="J318" s="27"/>
      <c r="K318" s="27"/>
      <c r="L318" s="27"/>
      <c r="M318" s="27"/>
      <c r="N318" s="27"/>
      <c r="O318" s="27"/>
      <c r="P318" s="27"/>
      <c r="Q318" s="27"/>
      <c r="R318" s="27"/>
      <c r="S318" s="27"/>
      <c r="T318" s="27"/>
      <c r="U318" s="27"/>
      <c r="V318" s="27"/>
      <c r="W318" s="27"/>
      <c r="X318" s="27"/>
    </row>
    <row r="319" spans="1:24" x14ac:dyDescent="0.2">
      <c r="A319" s="27"/>
      <c r="B319" s="27"/>
      <c r="C319" s="27"/>
      <c r="D319" s="27"/>
      <c r="E319" s="27"/>
      <c r="F319" s="27"/>
      <c r="G319" s="27"/>
      <c r="H319" s="27"/>
      <c r="I319" s="27"/>
      <c r="J319" s="27"/>
      <c r="K319" s="27"/>
      <c r="L319" s="27"/>
      <c r="M319" s="27"/>
      <c r="N319" s="27"/>
      <c r="O319" s="27"/>
      <c r="P319" s="27"/>
      <c r="Q319" s="27"/>
      <c r="R319" s="27"/>
      <c r="S319" s="27"/>
      <c r="T319" s="27"/>
      <c r="U319" s="27"/>
      <c r="V319" s="27"/>
      <c r="W319" s="27"/>
      <c r="X319" s="27"/>
    </row>
    <row r="320" spans="1:24" x14ac:dyDescent="0.2">
      <c r="A320" s="27"/>
      <c r="B320" s="27"/>
      <c r="C320" s="27"/>
      <c r="D320" s="27"/>
      <c r="E320" s="27"/>
      <c r="F320" s="27"/>
      <c r="G320" s="27"/>
      <c r="H320" s="27"/>
      <c r="I320" s="27"/>
      <c r="J320" s="27"/>
      <c r="K320" s="27"/>
      <c r="L320" s="27"/>
      <c r="M320" s="27"/>
      <c r="N320" s="27"/>
      <c r="O320" s="27"/>
      <c r="P320" s="27"/>
      <c r="Q320" s="27"/>
      <c r="R320" s="27"/>
      <c r="S320" s="27"/>
      <c r="T320" s="27"/>
      <c r="U320" s="27"/>
      <c r="V320" s="27"/>
      <c r="W320" s="27"/>
      <c r="X320" s="27"/>
    </row>
    <row r="321" spans="1:24" x14ac:dyDescent="0.2">
      <c r="A321" s="27"/>
      <c r="B321" s="27"/>
      <c r="C321" s="27"/>
      <c r="D321" s="27"/>
      <c r="E321" s="27"/>
      <c r="F321" s="27"/>
      <c r="G321" s="27"/>
      <c r="H321" s="27"/>
      <c r="I321" s="27"/>
      <c r="J321" s="27"/>
      <c r="K321" s="27"/>
      <c r="L321" s="27"/>
      <c r="M321" s="27"/>
      <c r="N321" s="27"/>
      <c r="O321" s="27"/>
      <c r="P321" s="27"/>
      <c r="Q321" s="27"/>
      <c r="R321" s="27"/>
      <c r="S321" s="27"/>
      <c r="T321" s="27"/>
      <c r="U321" s="27"/>
      <c r="V321" s="27"/>
      <c r="W321" s="27"/>
      <c r="X321" s="27"/>
    </row>
    <row r="322" spans="1:24" x14ac:dyDescent="0.2">
      <c r="A322" s="27"/>
      <c r="B322" s="27"/>
      <c r="C322" s="27"/>
      <c r="D322" s="27"/>
      <c r="E322" s="27"/>
      <c r="F322" s="27"/>
      <c r="G322" s="27"/>
      <c r="H322" s="27"/>
      <c r="I322" s="27"/>
      <c r="J322" s="27"/>
      <c r="K322" s="27"/>
      <c r="L322" s="27"/>
      <c r="M322" s="27"/>
      <c r="N322" s="27"/>
      <c r="O322" s="27"/>
      <c r="P322" s="27"/>
      <c r="Q322" s="27"/>
      <c r="R322" s="27"/>
      <c r="S322" s="27"/>
      <c r="T322" s="27"/>
      <c r="U322" s="27"/>
      <c r="V322" s="27"/>
      <c r="W322" s="27"/>
      <c r="X322" s="27"/>
    </row>
    <row r="323" spans="1:24" x14ac:dyDescent="0.2">
      <c r="A323" s="27"/>
      <c r="B323" s="27"/>
      <c r="C323" s="27"/>
      <c r="D323" s="27"/>
      <c r="E323" s="27"/>
      <c r="F323" s="27"/>
      <c r="G323" s="27"/>
      <c r="H323" s="27"/>
      <c r="I323" s="27"/>
      <c r="J323" s="27"/>
      <c r="K323" s="27"/>
      <c r="L323" s="27"/>
      <c r="M323" s="27"/>
      <c r="N323" s="27"/>
      <c r="O323" s="27"/>
      <c r="P323" s="27"/>
      <c r="Q323" s="27"/>
      <c r="R323" s="27"/>
      <c r="S323" s="27"/>
      <c r="T323" s="27"/>
      <c r="U323" s="27"/>
      <c r="V323" s="27"/>
      <c r="W323" s="27"/>
      <c r="X323" s="27"/>
    </row>
    <row r="324" spans="1:24" x14ac:dyDescent="0.2">
      <c r="A324" s="27"/>
      <c r="B324" s="27"/>
      <c r="C324" s="27"/>
      <c r="D324" s="27"/>
      <c r="E324" s="27"/>
      <c r="F324" s="27"/>
      <c r="G324" s="27"/>
      <c r="H324" s="27"/>
      <c r="I324" s="27"/>
      <c r="J324" s="27"/>
      <c r="K324" s="27"/>
      <c r="L324" s="27"/>
      <c r="M324" s="27"/>
      <c r="N324" s="27"/>
      <c r="O324" s="27"/>
      <c r="P324" s="27"/>
      <c r="Q324" s="27"/>
      <c r="R324" s="27"/>
      <c r="S324" s="27"/>
      <c r="T324" s="27"/>
      <c r="U324" s="27"/>
      <c r="V324" s="27"/>
      <c r="W324" s="27"/>
      <c r="X324" s="27"/>
    </row>
    <row r="325" spans="1:24" x14ac:dyDescent="0.2">
      <c r="A325" s="27"/>
      <c r="B325" s="27"/>
      <c r="C325" s="27"/>
      <c r="D325" s="27"/>
      <c r="E325" s="27"/>
      <c r="F325" s="27"/>
      <c r="G325" s="27"/>
      <c r="H325" s="27"/>
      <c r="I325" s="27"/>
      <c r="J325" s="27"/>
      <c r="K325" s="27"/>
      <c r="L325" s="27"/>
      <c r="M325" s="27"/>
      <c r="N325" s="27"/>
      <c r="O325" s="27"/>
      <c r="P325" s="27"/>
      <c r="Q325" s="27"/>
      <c r="R325" s="27"/>
      <c r="S325" s="27"/>
      <c r="T325" s="27"/>
      <c r="U325" s="27"/>
      <c r="V325" s="27"/>
      <c r="W325" s="27"/>
      <c r="X325" s="27"/>
    </row>
    <row r="326" spans="1:24" x14ac:dyDescent="0.2">
      <c r="A326" s="27"/>
      <c r="B326" s="27"/>
      <c r="C326" s="27"/>
      <c r="D326" s="27"/>
      <c r="E326" s="27"/>
      <c r="F326" s="27"/>
      <c r="G326" s="27"/>
      <c r="H326" s="27"/>
      <c r="I326" s="27"/>
      <c r="J326" s="27"/>
      <c r="K326" s="27"/>
      <c r="L326" s="27"/>
      <c r="M326" s="27"/>
      <c r="N326" s="27"/>
      <c r="O326" s="27"/>
      <c r="P326" s="27"/>
      <c r="Q326" s="27"/>
      <c r="R326" s="27"/>
      <c r="S326" s="27"/>
      <c r="T326" s="27"/>
      <c r="U326" s="27"/>
      <c r="V326" s="27"/>
      <c r="W326" s="27"/>
      <c r="X326" s="27"/>
    </row>
    <row r="327" spans="1:24" x14ac:dyDescent="0.2">
      <c r="A327" s="27"/>
      <c r="B327" s="27"/>
      <c r="C327" s="27"/>
      <c r="D327" s="27"/>
      <c r="E327" s="27"/>
      <c r="F327" s="27"/>
      <c r="G327" s="27"/>
      <c r="H327" s="27"/>
      <c r="I327" s="27"/>
      <c r="J327" s="27"/>
      <c r="K327" s="27"/>
      <c r="L327" s="27"/>
      <c r="M327" s="27"/>
      <c r="N327" s="27"/>
      <c r="O327" s="27"/>
      <c r="P327" s="27"/>
      <c r="Q327" s="27"/>
      <c r="R327" s="27"/>
      <c r="S327" s="27"/>
      <c r="T327" s="27"/>
      <c r="U327" s="27"/>
      <c r="V327" s="27"/>
      <c r="W327" s="27"/>
      <c r="X327" s="27"/>
    </row>
    <row r="328" spans="1:24" x14ac:dyDescent="0.2">
      <c r="A328" s="27"/>
      <c r="B328" s="27"/>
      <c r="C328" s="27"/>
      <c r="D328" s="27"/>
      <c r="E328" s="27"/>
      <c r="F328" s="27"/>
      <c r="G328" s="27"/>
      <c r="H328" s="27"/>
      <c r="I328" s="27"/>
      <c r="J328" s="27"/>
      <c r="K328" s="27"/>
      <c r="L328" s="27"/>
      <c r="M328" s="27"/>
      <c r="N328" s="27"/>
      <c r="O328" s="27"/>
      <c r="P328" s="27"/>
      <c r="Q328" s="27"/>
      <c r="R328" s="27"/>
      <c r="S328" s="27"/>
      <c r="T328" s="27"/>
      <c r="U328" s="27"/>
      <c r="V328" s="27"/>
      <c r="W328" s="27"/>
      <c r="X328" s="27"/>
    </row>
    <row r="329" spans="1:24" x14ac:dyDescent="0.2">
      <c r="A329" s="27"/>
      <c r="B329" s="27"/>
      <c r="C329" s="27"/>
      <c r="D329" s="27"/>
      <c r="E329" s="27"/>
      <c r="F329" s="27"/>
      <c r="G329" s="27"/>
      <c r="H329" s="27"/>
      <c r="I329" s="27"/>
      <c r="J329" s="27"/>
      <c r="K329" s="27"/>
      <c r="L329" s="27"/>
      <c r="M329" s="27"/>
      <c r="N329" s="27"/>
      <c r="O329" s="27"/>
      <c r="P329" s="27"/>
      <c r="Q329" s="27"/>
      <c r="R329" s="27"/>
      <c r="S329" s="27"/>
      <c r="T329" s="27"/>
      <c r="U329" s="27"/>
      <c r="V329" s="27"/>
      <c r="W329" s="27"/>
      <c r="X329" s="27"/>
    </row>
    <row r="330" spans="1:24" x14ac:dyDescent="0.2">
      <c r="A330" s="27"/>
      <c r="B330" s="27"/>
      <c r="C330" s="27"/>
      <c r="D330" s="27"/>
      <c r="E330" s="27"/>
      <c r="F330" s="27"/>
      <c r="G330" s="27"/>
      <c r="H330" s="27"/>
      <c r="I330" s="27"/>
      <c r="J330" s="27"/>
      <c r="K330" s="27"/>
      <c r="L330" s="27"/>
      <c r="M330" s="27"/>
      <c r="N330" s="27"/>
      <c r="O330" s="27"/>
      <c r="P330" s="27"/>
      <c r="Q330" s="27"/>
      <c r="R330" s="27"/>
      <c r="S330" s="27"/>
      <c r="T330" s="27"/>
      <c r="U330" s="27"/>
      <c r="V330" s="27"/>
      <c r="W330" s="27"/>
      <c r="X330" s="27"/>
    </row>
    <row r="331" spans="1:24" x14ac:dyDescent="0.2">
      <c r="A331" s="27"/>
      <c r="B331" s="27"/>
      <c r="C331" s="27"/>
      <c r="D331" s="27"/>
      <c r="E331" s="27"/>
      <c r="F331" s="27"/>
      <c r="G331" s="27"/>
      <c r="H331" s="27"/>
      <c r="I331" s="27"/>
      <c r="J331" s="27"/>
      <c r="K331" s="27"/>
      <c r="L331" s="27"/>
      <c r="M331" s="27"/>
      <c r="N331" s="27"/>
      <c r="O331" s="27"/>
      <c r="P331" s="27"/>
      <c r="Q331" s="27"/>
      <c r="R331" s="27"/>
      <c r="S331" s="27"/>
      <c r="T331" s="27"/>
      <c r="U331" s="27"/>
      <c r="V331" s="27"/>
      <c r="W331" s="27"/>
      <c r="X331" s="27"/>
    </row>
    <row r="332" spans="1:24" x14ac:dyDescent="0.2">
      <c r="A332" s="27"/>
      <c r="B332" s="27"/>
      <c r="C332" s="27"/>
      <c r="D332" s="27"/>
      <c r="E332" s="27"/>
      <c r="F332" s="27"/>
      <c r="G332" s="27"/>
      <c r="H332" s="27"/>
      <c r="I332" s="27"/>
      <c r="J332" s="27"/>
      <c r="K332" s="27"/>
      <c r="L332" s="27"/>
      <c r="M332" s="27"/>
      <c r="N332" s="27"/>
      <c r="O332" s="27"/>
      <c r="P332" s="27"/>
      <c r="Q332" s="27"/>
      <c r="R332" s="27"/>
      <c r="S332" s="27"/>
      <c r="T332" s="27"/>
      <c r="U332" s="27"/>
      <c r="V332" s="27"/>
      <c r="W332" s="27"/>
      <c r="X332" s="27"/>
    </row>
    <row r="333" spans="1:24" x14ac:dyDescent="0.2">
      <c r="A333" s="27"/>
      <c r="B333" s="27"/>
      <c r="C333" s="27"/>
      <c r="D333" s="27"/>
      <c r="E333" s="27"/>
      <c r="F333" s="27"/>
      <c r="G333" s="27"/>
      <c r="H333" s="27"/>
      <c r="I333" s="27"/>
      <c r="J333" s="27"/>
      <c r="K333" s="27"/>
      <c r="L333" s="27"/>
      <c r="M333" s="27"/>
      <c r="N333" s="27"/>
      <c r="O333" s="27"/>
      <c r="P333" s="27"/>
      <c r="Q333" s="27"/>
      <c r="R333" s="27"/>
      <c r="S333" s="27"/>
      <c r="T333" s="27"/>
      <c r="U333" s="27"/>
      <c r="V333" s="27"/>
      <c r="W333" s="27"/>
      <c r="X333" s="27"/>
    </row>
    <row r="334" spans="1:24" x14ac:dyDescent="0.2">
      <c r="A334" s="27"/>
      <c r="B334" s="27"/>
      <c r="C334" s="27"/>
      <c r="D334" s="27"/>
      <c r="E334" s="27"/>
      <c r="F334" s="27"/>
      <c r="G334" s="27"/>
      <c r="H334" s="27"/>
      <c r="I334" s="27"/>
      <c r="J334" s="27"/>
      <c r="K334" s="27"/>
      <c r="L334" s="27"/>
      <c r="M334" s="27"/>
      <c r="N334" s="27"/>
      <c r="O334" s="27"/>
      <c r="P334" s="27"/>
      <c r="Q334" s="27"/>
      <c r="R334" s="27"/>
      <c r="S334" s="27"/>
      <c r="T334" s="27"/>
      <c r="U334" s="27"/>
      <c r="V334" s="27"/>
      <c r="W334" s="27"/>
      <c r="X334" s="27"/>
    </row>
    <row r="335" spans="1:24" x14ac:dyDescent="0.2">
      <c r="A335" s="27"/>
      <c r="B335" s="27"/>
      <c r="C335" s="27"/>
      <c r="D335" s="27"/>
      <c r="E335" s="27"/>
      <c r="F335" s="27"/>
      <c r="G335" s="27"/>
      <c r="H335" s="27"/>
      <c r="I335" s="27"/>
      <c r="J335" s="27"/>
      <c r="K335" s="27"/>
      <c r="L335" s="27"/>
      <c r="M335" s="27"/>
      <c r="N335" s="27"/>
      <c r="O335" s="27"/>
      <c r="P335" s="27"/>
      <c r="Q335" s="27"/>
      <c r="R335" s="27"/>
      <c r="S335" s="27"/>
      <c r="T335" s="27"/>
      <c r="U335" s="27"/>
      <c r="V335" s="27"/>
      <c r="W335" s="27"/>
      <c r="X335" s="27"/>
    </row>
    <row r="336" spans="1:24" x14ac:dyDescent="0.2">
      <c r="A336" s="27"/>
      <c r="B336" s="27"/>
      <c r="C336" s="27"/>
      <c r="D336" s="27"/>
      <c r="E336" s="27"/>
      <c r="F336" s="27"/>
      <c r="G336" s="27"/>
      <c r="H336" s="27"/>
      <c r="I336" s="27"/>
      <c r="J336" s="27"/>
      <c r="K336" s="27"/>
      <c r="L336" s="27"/>
      <c r="M336" s="27"/>
      <c r="N336" s="27"/>
      <c r="O336" s="27"/>
      <c r="P336" s="27"/>
      <c r="Q336" s="27"/>
      <c r="R336" s="27"/>
      <c r="S336" s="27"/>
      <c r="T336" s="27"/>
      <c r="U336" s="27"/>
      <c r="V336" s="27"/>
      <c r="W336" s="27"/>
      <c r="X336" s="27"/>
    </row>
    <row r="337" spans="1:24" x14ac:dyDescent="0.2">
      <c r="A337" s="27"/>
      <c r="B337" s="27"/>
      <c r="C337" s="27"/>
      <c r="D337" s="27"/>
      <c r="E337" s="27"/>
      <c r="F337" s="27"/>
      <c r="G337" s="27"/>
      <c r="H337" s="27"/>
      <c r="I337" s="27"/>
      <c r="J337" s="27"/>
      <c r="K337" s="27"/>
      <c r="L337" s="27"/>
      <c r="M337" s="27"/>
      <c r="N337" s="27"/>
      <c r="O337" s="27"/>
      <c r="P337" s="27"/>
      <c r="Q337" s="27"/>
      <c r="R337" s="27"/>
      <c r="S337" s="27"/>
      <c r="T337" s="27"/>
      <c r="U337" s="27"/>
      <c r="V337" s="27"/>
      <c r="W337" s="27"/>
      <c r="X337" s="27"/>
    </row>
    <row r="338" spans="1:24" x14ac:dyDescent="0.2">
      <c r="A338" s="27"/>
      <c r="B338" s="27"/>
      <c r="C338" s="27"/>
      <c r="D338" s="27"/>
      <c r="E338" s="27"/>
      <c r="F338" s="27"/>
      <c r="G338" s="27"/>
      <c r="H338" s="27"/>
      <c r="I338" s="27"/>
      <c r="J338" s="27"/>
      <c r="K338" s="27"/>
      <c r="L338" s="27"/>
      <c r="M338" s="27"/>
      <c r="N338" s="27"/>
      <c r="O338" s="27"/>
      <c r="P338" s="27"/>
      <c r="Q338" s="27"/>
      <c r="R338" s="27"/>
      <c r="S338" s="27"/>
      <c r="T338" s="27"/>
      <c r="U338" s="27"/>
      <c r="V338" s="27"/>
      <c r="W338" s="27"/>
      <c r="X338" s="27"/>
    </row>
    <row r="339" spans="1:24" x14ac:dyDescent="0.2">
      <c r="A339" s="27"/>
      <c r="B339" s="27"/>
      <c r="C339" s="27"/>
      <c r="D339" s="27"/>
      <c r="E339" s="27"/>
      <c r="F339" s="27"/>
      <c r="G339" s="27"/>
      <c r="H339" s="27"/>
      <c r="I339" s="27"/>
      <c r="J339" s="27"/>
      <c r="K339" s="27"/>
      <c r="L339" s="27"/>
      <c r="M339" s="27"/>
      <c r="N339" s="27"/>
      <c r="O339" s="27"/>
      <c r="P339" s="27"/>
      <c r="Q339" s="27"/>
      <c r="R339" s="27"/>
      <c r="S339" s="27"/>
      <c r="T339" s="27"/>
      <c r="U339" s="27"/>
      <c r="V339" s="27"/>
      <c r="W339" s="27"/>
      <c r="X339" s="27"/>
    </row>
    <row r="340" spans="1:24" x14ac:dyDescent="0.2">
      <c r="A340" s="27"/>
      <c r="B340" s="27"/>
      <c r="C340" s="27"/>
      <c r="D340" s="27"/>
      <c r="E340" s="27"/>
      <c r="F340" s="27"/>
      <c r="G340" s="27"/>
      <c r="H340" s="27"/>
      <c r="I340" s="27"/>
      <c r="J340" s="27"/>
      <c r="K340" s="27"/>
      <c r="L340" s="27"/>
      <c r="M340" s="27"/>
      <c r="N340" s="27"/>
      <c r="O340" s="27"/>
      <c r="P340" s="27"/>
      <c r="Q340" s="27"/>
      <c r="R340" s="27"/>
      <c r="S340" s="27"/>
      <c r="T340" s="27"/>
      <c r="U340" s="27"/>
      <c r="V340" s="27"/>
      <c r="W340" s="27"/>
      <c r="X340" s="27"/>
    </row>
    <row r="341" spans="1:24" x14ac:dyDescent="0.2">
      <c r="A341" s="27"/>
      <c r="B341" s="27"/>
      <c r="C341" s="27"/>
      <c r="D341" s="27"/>
      <c r="E341" s="27"/>
      <c r="F341" s="27"/>
      <c r="G341" s="27"/>
      <c r="H341" s="27"/>
      <c r="I341" s="27"/>
      <c r="J341" s="27"/>
      <c r="K341" s="27"/>
      <c r="L341" s="27"/>
      <c r="M341" s="27"/>
      <c r="N341" s="27"/>
      <c r="O341" s="27"/>
      <c r="P341" s="27"/>
      <c r="Q341" s="27"/>
      <c r="R341" s="27"/>
      <c r="S341" s="27"/>
      <c r="T341" s="27"/>
      <c r="U341" s="27"/>
      <c r="V341" s="27"/>
      <c r="W341" s="27"/>
      <c r="X341" s="27"/>
    </row>
    <row r="342" spans="1:24" x14ac:dyDescent="0.2">
      <c r="A342" s="27"/>
      <c r="B342" s="27"/>
      <c r="C342" s="27"/>
      <c r="D342" s="27"/>
      <c r="E342" s="27"/>
      <c r="F342" s="27"/>
      <c r="G342" s="27"/>
      <c r="H342" s="27"/>
      <c r="I342" s="27"/>
      <c r="J342" s="27"/>
      <c r="K342" s="27"/>
      <c r="L342" s="27"/>
      <c r="M342" s="27"/>
      <c r="N342" s="27"/>
      <c r="O342" s="27"/>
      <c r="P342" s="27"/>
      <c r="Q342" s="27"/>
      <c r="R342" s="27"/>
      <c r="S342" s="27"/>
      <c r="T342" s="27"/>
      <c r="U342" s="27"/>
      <c r="V342" s="27"/>
      <c r="W342" s="27"/>
      <c r="X342" s="27"/>
    </row>
    <row r="343" spans="1:24" x14ac:dyDescent="0.2">
      <c r="A343" s="27"/>
      <c r="B343" s="27"/>
      <c r="C343" s="27"/>
      <c r="D343" s="27"/>
      <c r="E343" s="27"/>
      <c r="F343" s="27"/>
      <c r="G343" s="27"/>
      <c r="H343" s="27"/>
      <c r="I343" s="27"/>
      <c r="J343" s="27"/>
      <c r="K343" s="27"/>
      <c r="L343" s="27"/>
      <c r="M343" s="27"/>
      <c r="N343" s="27"/>
      <c r="O343" s="27"/>
      <c r="P343" s="27"/>
      <c r="Q343" s="27"/>
      <c r="R343" s="27"/>
      <c r="S343" s="27"/>
      <c r="T343" s="27"/>
      <c r="U343" s="27"/>
      <c r="V343" s="27"/>
      <c r="W343" s="27"/>
      <c r="X343" s="27"/>
    </row>
    <row r="344" spans="1:24" x14ac:dyDescent="0.2">
      <c r="A344" s="27"/>
      <c r="B344" s="27"/>
      <c r="C344" s="27"/>
      <c r="D344" s="27"/>
      <c r="E344" s="27"/>
      <c r="F344" s="27"/>
      <c r="G344" s="27"/>
      <c r="H344" s="27"/>
      <c r="I344" s="27"/>
      <c r="J344" s="27"/>
      <c r="K344" s="27"/>
      <c r="L344" s="27"/>
      <c r="M344" s="27"/>
      <c r="N344" s="27"/>
      <c r="O344" s="27"/>
      <c r="P344" s="27"/>
      <c r="Q344" s="27"/>
      <c r="R344" s="27"/>
      <c r="S344" s="27"/>
      <c r="T344" s="27"/>
      <c r="U344" s="27"/>
      <c r="V344" s="27"/>
      <c r="W344" s="27"/>
      <c r="X344" s="27"/>
    </row>
    <row r="345" spans="1:24" x14ac:dyDescent="0.2">
      <c r="A345" s="27"/>
      <c r="B345" s="27"/>
      <c r="C345" s="27"/>
      <c r="D345" s="27"/>
      <c r="E345" s="27"/>
      <c r="F345" s="27"/>
      <c r="G345" s="27"/>
      <c r="H345" s="27"/>
      <c r="I345" s="27"/>
      <c r="J345" s="27"/>
      <c r="K345" s="27"/>
      <c r="L345" s="27"/>
      <c r="M345" s="27"/>
      <c r="N345" s="27"/>
      <c r="O345" s="27"/>
      <c r="P345" s="27"/>
      <c r="Q345" s="27"/>
      <c r="R345" s="27"/>
      <c r="S345" s="27"/>
      <c r="T345" s="27"/>
      <c r="U345" s="27"/>
      <c r="V345" s="27"/>
      <c r="W345" s="27"/>
      <c r="X345" s="27"/>
    </row>
    <row r="346" spans="1:24" x14ac:dyDescent="0.2">
      <c r="A346" s="27"/>
      <c r="B346" s="27"/>
      <c r="C346" s="27"/>
      <c r="D346" s="27"/>
      <c r="E346" s="27"/>
      <c r="F346" s="27"/>
      <c r="G346" s="27"/>
      <c r="H346" s="27"/>
      <c r="I346" s="27"/>
      <c r="J346" s="27"/>
      <c r="K346" s="27"/>
      <c r="L346" s="27"/>
      <c r="M346" s="27"/>
      <c r="N346" s="27"/>
      <c r="O346" s="27"/>
      <c r="P346" s="27"/>
      <c r="Q346" s="27"/>
      <c r="R346" s="27"/>
      <c r="S346" s="27"/>
      <c r="T346" s="27"/>
      <c r="U346" s="27"/>
      <c r="V346" s="27"/>
      <c r="W346" s="27"/>
      <c r="X346" s="27"/>
    </row>
    <row r="347" spans="1:24" x14ac:dyDescent="0.2">
      <c r="A347" s="27"/>
      <c r="B347" s="27"/>
      <c r="C347" s="27"/>
      <c r="D347" s="27"/>
      <c r="E347" s="27"/>
      <c r="F347" s="27"/>
      <c r="G347" s="27"/>
      <c r="H347" s="27"/>
      <c r="I347" s="27"/>
      <c r="J347" s="27"/>
      <c r="K347" s="27"/>
      <c r="L347" s="27"/>
      <c r="M347" s="27"/>
      <c r="N347" s="27"/>
      <c r="O347" s="27"/>
      <c r="P347" s="27"/>
      <c r="Q347" s="27"/>
      <c r="R347" s="27"/>
      <c r="S347" s="27"/>
      <c r="T347" s="27"/>
      <c r="U347" s="27"/>
      <c r="V347" s="27"/>
      <c r="W347" s="27"/>
      <c r="X347" s="27"/>
    </row>
    <row r="348" spans="1:24" x14ac:dyDescent="0.2">
      <c r="A348" s="27"/>
      <c r="B348" s="27"/>
      <c r="C348" s="27"/>
      <c r="D348" s="27"/>
      <c r="E348" s="27"/>
      <c r="F348" s="27"/>
      <c r="G348" s="27"/>
      <c r="H348" s="27"/>
      <c r="I348" s="27"/>
      <c r="J348" s="27"/>
      <c r="K348" s="27"/>
      <c r="L348" s="27"/>
      <c r="M348" s="27"/>
      <c r="N348" s="27"/>
      <c r="O348" s="27"/>
      <c r="P348" s="27"/>
      <c r="Q348" s="27"/>
      <c r="R348" s="27"/>
      <c r="S348" s="27"/>
      <c r="T348" s="27"/>
      <c r="U348" s="27"/>
      <c r="V348" s="27"/>
      <c r="W348" s="27"/>
      <c r="X348" s="27"/>
    </row>
    <row r="349" spans="1:24" x14ac:dyDescent="0.2">
      <c r="A349" s="27"/>
      <c r="B349" s="27"/>
      <c r="C349" s="27"/>
      <c r="D349" s="27"/>
      <c r="E349" s="27"/>
      <c r="F349" s="27"/>
      <c r="G349" s="27"/>
      <c r="H349" s="27"/>
      <c r="I349" s="27"/>
      <c r="J349" s="27"/>
      <c r="K349" s="27"/>
      <c r="L349" s="27"/>
      <c r="M349" s="27"/>
      <c r="N349" s="27"/>
      <c r="O349" s="27"/>
      <c r="P349" s="27"/>
      <c r="Q349" s="27"/>
      <c r="R349" s="27"/>
      <c r="S349" s="27"/>
      <c r="T349" s="27"/>
      <c r="U349" s="27"/>
      <c r="V349" s="27"/>
      <c r="W349" s="27"/>
      <c r="X349" s="27"/>
    </row>
    <row r="350" spans="1:24" x14ac:dyDescent="0.2">
      <c r="A350" s="27"/>
      <c r="B350" s="27"/>
      <c r="C350" s="27"/>
      <c r="D350" s="27"/>
      <c r="E350" s="27"/>
      <c r="F350" s="27"/>
      <c r="G350" s="27"/>
      <c r="H350" s="27"/>
      <c r="I350" s="27"/>
      <c r="J350" s="27"/>
      <c r="K350" s="27"/>
      <c r="L350" s="27"/>
      <c r="M350" s="27"/>
      <c r="N350" s="27"/>
      <c r="O350" s="27"/>
      <c r="P350" s="27"/>
      <c r="Q350" s="27"/>
      <c r="R350" s="27"/>
      <c r="S350" s="27"/>
      <c r="T350" s="27"/>
      <c r="U350" s="27"/>
      <c r="V350" s="27"/>
      <c r="W350" s="27"/>
      <c r="X350" s="27"/>
    </row>
    <row r="351" spans="1:24" x14ac:dyDescent="0.2">
      <c r="A351" s="27"/>
      <c r="B351" s="27"/>
      <c r="C351" s="27"/>
      <c r="D351" s="27"/>
      <c r="E351" s="27"/>
      <c r="F351" s="27"/>
      <c r="G351" s="27"/>
      <c r="H351" s="27"/>
      <c r="I351" s="27"/>
      <c r="J351" s="27"/>
      <c r="K351" s="27"/>
      <c r="L351" s="27"/>
      <c r="M351" s="27"/>
      <c r="N351" s="27"/>
      <c r="O351" s="27"/>
      <c r="P351" s="27"/>
      <c r="Q351" s="27"/>
      <c r="R351" s="27"/>
      <c r="S351" s="27"/>
      <c r="T351" s="27"/>
      <c r="U351" s="27"/>
      <c r="V351" s="27"/>
      <c r="W351" s="27"/>
      <c r="X351" s="27"/>
    </row>
    <row r="352" spans="1:24" x14ac:dyDescent="0.2">
      <c r="A352" s="27"/>
      <c r="B352" s="27"/>
      <c r="C352" s="27"/>
      <c r="D352" s="27"/>
      <c r="E352" s="27"/>
      <c r="F352" s="27"/>
      <c r="G352" s="27"/>
      <c r="H352" s="27"/>
      <c r="I352" s="27"/>
      <c r="J352" s="27"/>
      <c r="K352" s="27"/>
      <c r="L352" s="27"/>
      <c r="M352" s="27"/>
      <c r="N352" s="27"/>
      <c r="O352" s="27"/>
      <c r="P352" s="27"/>
      <c r="Q352" s="27"/>
      <c r="R352" s="27"/>
      <c r="S352" s="27"/>
      <c r="T352" s="27"/>
      <c r="U352" s="27"/>
      <c r="V352" s="27"/>
      <c r="W352" s="27"/>
      <c r="X352" s="27"/>
    </row>
    <row r="353" spans="1:24" x14ac:dyDescent="0.2">
      <c r="A353" s="27"/>
      <c r="B353" s="27"/>
      <c r="C353" s="27"/>
      <c r="D353" s="27"/>
      <c r="E353" s="27"/>
      <c r="F353" s="27"/>
      <c r="G353" s="27"/>
      <c r="H353" s="27"/>
      <c r="I353" s="27"/>
      <c r="J353" s="27"/>
      <c r="K353" s="27"/>
      <c r="L353" s="27"/>
      <c r="M353" s="27"/>
      <c r="N353" s="27"/>
      <c r="O353" s="27"/>
      <c r="P353" s="27"/>
      <c r="Q353" s="27"/>
      <c r="R353" s="27"/>
      <c r="S353" s="27"/>
      <c r="T353" s="27"/>
      <c r="U353" s="27"/>
      <c r="V353" s="27"/>
      <c r="W353" s="27"/>
      <c r="X353" s="27"/>
    </row>
    <row r="354" spans="1:24" x14ac:dyDescent="0.2">
      <c r="A354" s="27"/>
      <c r="B354" s="27"/>
      <c r="C354" s="27"/>
      <c r="D354" s="27"/>
      <c r="E354" s="27"/>
      <c r="F354" s="27"/>
      <c r="G354" s="27"/>
      <c r="H354" s="27"/>
      <c r="I354" s="27"/>
      <c r="J354" s="27"/>
      <c r="K354" s="27"/>
      <c r="L354" s="27"/>
      <c r="M354" s="27"/>
      <c r="N354" s="27"/>
      <c r="O354" s="27"/>
      <c r="P354" s="27"/>
      <c r="Q354" s="27"/>
      <c r="R354" s="27"/>
      <c r="S354" s="27"/>
      <c r="T354" s="27"/>
      <c r="U354" s="27"/>
      <c r="V354" s="27"/>
      <c r="W354" s="27"/>
      <c r="X354" s="27"/>
    </row>
    <row r="355" spans="1:24" x14ac:dyDescent="0.2">
      <c r="A355" s="27"/>
      <c r="B355" s="27"/>
      <c r="C355" s="27"/>
      <c r="D355" s="27"/>
      <c r="E355" s="27"/>
      <c r="F355" s="27"/>
      <c r="G355" s="27"/>
      <c r="H355" s="27"/>
      <c r="I355" s="27"/>
      <c r="J355" s="27"/>
      <c r="K355" s="27"/>
      <c r="L355" s="27"/>
      <c r="M355" s="27"/>
      <c r="N355" s="27"/>
      <c r="O355" s="27"/>
      <c r="P355" s="27"/>
      <c r="Q355" s="27"/>
      <c r="R355" s="27"/>
      <c r="S355" s="27"/>
      <c r="T355" s="27"/>
      <c r="U355" s="27"/>
      <c r="V355" s="27"/>
      <c r="W355" s="27"/>
      <c r="X355" s="27"/>
    </row>
    <row r="356" spans="1:24" x14ac:dyDescent="0.2">
      <c r="A356" s="27"/>
      <c r="B356" s="27"/>
      <c r="C356" s="27"/>
      <c r="D356" s="27"/>
      <c r="E356" s="27"/>
      <c r="F356" s="27"/>
      <c r="G356" s="27"/>
      <c r="H356" s="27"/>
      <c r="I356" s="27"/>
      <c r="J356" s="27"/>
      <c r="K356" s="27"/>
      <c r="L356" s="27"/>
      <c r="M356" s="27"/>
      <c r="N356" s="27"/>
      <c r="O356" s="27"/>
      <c r="P356" s="27"/>
      <c r="Q356" s="27"/>
      <c r="R356" s="27"/>
      <c r="S356" s="27"/>
      <c r="T356" s="27"/>
      <c r="U356" s="27"/>
      <c r="V356" s="27"/>
      <c r="W356" s="27"/>
      <c r="X356" s="27"/>
    </row>
    <row r="357" spans="1:24" x14ac:dyDescent="0.2">
      <c r="A357" s="27"/>
      <c r="B357" s="27"/>
      <c r="C357" s="27"/>
      <c r="D357" s="27"/>
      <c r="E357" s="27"/>
      <c r="F357" s="27"/>
      <c r="G357" s="27"/>
      <c r="H357" s="27"/>
      <c r="I357" s="27"/>
      <c r="J357" s="27"/>
      <c r="K357" s="27"/>
      <c r="L357" s="27"/>
      <c r="M357" s="27"/>
      <c r="N357" s="27"/>
      <c r="O357" s="27"/>
      <c r="P357" s="27"/>
      <c r="Q357" s="27"/>
      <c r="R357" s="27"/>
      <c r="S357" s="27"/>
      <c r="T357" s="27"/>
      <c r="U357" s="27"/>
      <c r="V357" s="27"/>
      <c r="W357" s="27"/>
      <c r="X357" s="27"/>
    </row>
    <row r="358" spans="1:24" x14ac:dyDescent="0.2">
      <c r="A358" s="27"/>
      <c r="B358" s="27"/>
      <c r="C358" s="27"/>
      <c r="D358" s="27"/>
      <c r="E358" s="27"/>
      <c r="F358" s="27"/>
      <c r="G358" s="27"/>
      <c r="H358" s="27"/>
      <c r="I358" s="27"/>
      <c r="J358" s="27"/>
      <c r="K358" s="27"/>
      <c r="L358" s="27"/>
      <c r="M358" s="27"/>
      <c r="N358" s="27"/>
      <c r="O358" s="27"/>
      <c r="P358" s="27"/>
      <c r="Q358" s="27"/>
      <c r="R358" s="27"/>
      <c r="S358" s="27"/>
      <c r="T358" s="27"/>
      <c r="U358" s="27"/>
      <c r="V358" s="27"/>
      <c r="W358" s="27"/>
      <c r="X358" s="27"/>
    </row>
    <row r="359" spans="1:24" x14ac:dyDescent="0.2">
      <c r="A359" s="27"/>
      <c r="B359" s="27"/>
      <c r="C359" s="27"/>
      <c r="D359" s="27"/>
      <c r="E359" s="27"/>
      <c r="F359" s="27"/>
      <c r="G359" s="27"/>
      <c r="H359" s="27"/>
      <c r="I359" s="27"/>
      <c r="J359" s="27"/>
      <c r="K359" s="27"/>
      <c r="L359" s="27"/>
      <c r="M359" s="27"/>
      <c r="N359" s="27"/>
      <c r="O359" s="27"/>
      <c r="P359" s="27"/>
      <c r="Q359" s="27"/>
      <c r="R359" s="27"/>
      <c r="S359" s="27"/>
      <c r="T359" s="27"/>
      <c r="U359" s="27"/>
      <c r="V359" s="27"/>
      <c r="W359" s="27"/>
      <c r="X359" s="27"/>
    </row>
    <row r="360" spans="1:24" x14ac:dyDescent="0.2">
      <c r="A360" s="27"/>
      <c r="B360" s="27"/>
      <c r="C360" s="27"/>
      <c r="D360" s="27"/>
      <c r="E360" s="27"/>
      <c r="F360" s="27"/>
      <c r="G360" s="27"/>
      <c r="H360" s="27"/>
      <c r="I360" s="27"/>
      <c r="J360" s="27"/>
      <c r="K360" s="27"/>
      <c r="L360" s="27"/>
      <c r="M360" s="27"/>
      <c r="N360" s="27"/>
      <c r="O360" s="27"/>
      <c r="P360" s="27"/>
      <c r="Q360" s="27"/>
      <c r="R360" s="27"/>
      <c r="S360" s="27"/>
      <c r="T360" s="27"/>
      <c r="U360" s="27"/>
      <c r="V360" s="27"/>
      <c r="W360" s="27"/>
      <c r="X360" s="27"/>
    </row>
    <row r="361" spans="1:24" x14ac:dyDescent="0.2">
      <c r="A361" s="27"/>
      <c r="B361" s="27"/>
      <c r="C361" s="27"/>
      <c r="D361" s="27"/>
      <c r="E361" s="27"/>
      <c r="F361" s="27"/>
      <c r="G361" s="27"/>
      <c r="H361" s="27"/>
      <c r="I361" s="27"/>
      <c r="J361" s="27"/>
      <c r="K361" s="27"/>
      <c r="L361" s="27"/>
      <c r="M361" s="27"/>
      <c r="N361" s="27"/>
      <c r="O361" s="27"/>
      <c r="P361" s="27"/>
      <c r="Q361" s="27"/>
      <c r="R361" s="27"/>
      <c r="S361" s="27"/>
      <c r="T361" s="27"/>
      <c r="U361" s="27"/>
      <c r="V361" s="27"/>
      <c r="W361" s="27"/>
      <c r="X361" s="27"/>
    </row>
    <row r="362" spans="1:24" x14ac:dyDescent="0.2">
      <c r="A362" s="27"/>
      <c r="B362" s="27"/>
      <c r="C362" s="27"/>
      <c r="D362" s="27"/>
      <c r="E362" s="27"/>
      <c r="F362" s="27"/>
      <c r="G362" s="27"/>
      <c r="H362" s="27"/>
      <c r="I362" s="27"/>
      <c r="J362" s="27"/>
      <c r="K362" s="27"/>
      <c r="L362" s="27"/>
      <c r="M362" s="27"/>
      <c r="N362" s="27"/>
      <c r="O362" s="27"/>
      <c r="P362" s="27"/>
      <c r="Q362" s="27"/>
      <c r="R362" s="27"/>
      <c r="S362" s="27"/>
      <c r="T362" s="27"/>
      <c r="U362" s="27"/>
      <c r="V362" s="27"/>
      <c r="W362" s="27"/>
      <c r="X362" s="27"/>
    </row>
    <row r="363" spans="1:24" x14ac:dyDescent="0.2">
      <c r="A363" s="27"/>
      <c r="B363" s="27"/>
      <c r="C363" s="27"/>
      <c r="D363" s="27"/>
      <c r="E363" s="27"/>
      <c r="F363" s="27"/>
      <c r="G363" s="27"/>
      <c r="H363" s="27"/>
      <c r="I363" s="27"/>
      <c r="J363" s="27"/>
      <c r="K363" s="27"/>
      <c r="L363" s="27"/>
      <c r="M363" s="27"/>
      <c r="N363" s="27"/>
      <c r="O363" s="27"/>
      <c r="P363" s="27"/>
      <c r="Q363" s="27"/>
      <c r="R363" s="27"/>
      <c r="S363" s="27"/>
      <c r="T363" s="27"/>
      <c r="U363" s="27"/>
      <c r="V363" s="27"/>
      <c r="W363" s="27"/>
      <c r="X363" s="27"/>
    </row>
    <row r="364" spans="1:24" x14ac:dyDescent="0.2">
      <c r="A364" s="27"/>
      <c r="B364" s="27"/>
      <c r="C364" s="27"/>
      <c r="D364" s="27"/>
      <c r="E364" s="27"/>
      <c r="F364" s="27"/>
      <c r="G364" s="27"/>
      <c r="H364" s="27"/>
      <c r="I364" s="27"/>
      <c r="J364" s="27"/>
      <c r="K364" s="27"/>
      <c r="L364" s="27"/>
      <c r="M364" s="27"/>
      <c r="N364" s="27"/>
      <c r="O364" s="27"/>
      <c r="P364" s="27"/>
      <c r="Q364" s="27"/>
      <c r="R364" s="27"/>
      <c r="S364" s="27"/>
      <c r="T364" s="27"/>
      <c r="U364" s="27"/>
      <c r="V364" s="27"/>
      <c r="W364" s="27"/>
      <c r="X364" s="27"/>
    </row>
    <row r="365" spans="1:24" x14ac:dyDescent="0.2">
      <c r="A365" s="27"/>
      <c r="B365" s="27"/>
      <c r="C365" s="27"/>
      <c r="D365" s="27"/>
      <c r="E365" s="27"/>
      <c r="F365" s="27"/>
      <c r="G365" s="27"/>
      <c r="H365" s="27"/>
      <c r="I365" s="27"/>
      <c r="J365" s="27"/>
      <c r="K365" s="27"/>
      <c r="L365" s="27"/>
      <c r="M365" s="27"/>
      <c r="N365" s="27"/>
      <c r="O365" s="27"/>
      <c r="P365" s="27"/>
      <c r="Q365" s="27"/>
      <c r="R365" s="27"/>
      <c r="S365" s="27"/>
      <c r="T365" s="27"/>
      <c r="U365" s="27"/>
      <c r="V365" s="27"/>
      <c r="W365" s="27"/>
      <c r="X365" s="27"/>
    </row>
    <row r="366" spans="1:24" x14ac:dyDescent="0.2">
      <c r="A366" s="27"/>
      <c r="B366" s="27"/>
      <c r="C366" s="27"/>
      <c r="D366" s="27"/>
      <c r="E366" s="27"/>
      <c r="F366" s="27"/>
      <c r="G366" s="27"/>
      <c r="H366" s="27"/>
      <c r="I366" s="27"/>
      <c r="J366" s="27"/>
      <c r="K366" s="27"/>
      <c r="L366" s="27"/>
      <c r="M366" s="27"/>
      <c r="N366" s="27"/>
      <c r="O366" s="27"/>
      <c r="P366" s="27"/>
      <c r="Q366" s="27"/>
      <c r="R366" s="27"/>
      <c r="S366" s="27"/>
      <c r="T366" s="27"/>
      <c r="U366" s="27"/>
      <c r="V366" s="27"/>
      <c r="W366" s="27"/>
      <c r="X366" s="27"/>
    </row>
    <row r="367" spans="1:24" x14ac:dyDescent="0.2">
      <c r="A367" s="27"/>
      <c r="B367" s="27"/>
      <c r="C367" s="27"/>
      <c r="D367" s="27"/>
      <c r="E367" s="27"/>
      <c r="F367" s="27"/>
      <c r="G367" s="27"/>
      <c r="H367" s="27"/>
      <c r="I367" s="27"/>
      <c r="J367" s="27"/>
      <c r="K367" s="27"/>
      <c r="L367" s="27"/>
      <c r="M367" s="27"/>
      <c r="N367" s="27"/>
      <c r="O367" s="27"/>
      <c r="P367" s="27"/>
      <c r="Q367" s="27"/>
      <c r="R367" s="27"/>
      <c r="S367" s="27"/>
      <c r="T367" s="27"/>
      <c r="U367" s="27"/>
      <c r="V367" s="27"/>
      <c r="W367" s="27"/>
      <c r="X367" s="27"/>
    </row>
    <row r="368" spans="1:24" x14ac:dyDescent="0.2">
      <c r="A368" s="27"/>
      <c r="B368" s="27"/>
      <c r="C368" s="27"/>
      <c r="D368" s="27"/>
      <c r="E368" s="27"/>
      <c r="F368" s="27"/>
      <c r="G368" s="27"/>
      <c r="H368" s="27"/>
      <c r="I368" s="27"/>
      <c r="J368" s="27"/>
      <c r="K368" s="27"/>
      <c r="L368" s="27"/>
      <c r="M368" s="27"/>
      <c r="N368" s="27"/>
      <c r="O368" s="27"/>
      <c r="P368" s="27"/>
      <c r="Q368" s="27"/>
      <c r="R368" s="27"/>
      <c r="S368" s="27"/>
      <c r="T368" s="27"/>
      <c r="U368" s="27"/>
      <c r="V368" s="27"/>
      <c r="W368" s="27"/>
      <c r="X368" s="27"/>
    </row>
    <row r="369" spans="1:24" x14ac:dyDescent="0.2">
      <c r="A369" s="27"/>
      <c r="B369" s="27"/>
      <c r="C369" s="27"/>
      <c r="D369" s="27"/>
      <c r="E369" s="27"/>
      <c r="F369" s="27"/>
      <c r="G369" s="27"/>
      <c r="H369" s="27"/>
      <c r="I369" s="27"/>
      <c r="J369" s="27"/>
      <c r="K369" s="27"/>
      <c r="L369" s="27"/>
      <c r="M369" s="27"/>
      <c r="N369" s="27"/>
      <c r="O369" s="27"/>
      <c r="P369" s="27"/>
      <c r="Q369" s="27"/>
      <c r="R369" s="27"/>
      <c r="S369" s="27"/>
      <c r="T369" s="27"/>
      <c r="U369" s="27"/>
      <c r="V369" s="27"/>
      <c r="W369" s="27"/>
      <c r="X369" s="27"/>
    </row>
    <row r="370" spans="1:24" x14ac:dyDescent="0.2">
      <c r="A370" s="27"/>
      <c r="B370" s="27"/>
      <c r="C370" s="27"/>
      <c r="D370" s="27"/>
      <c r="E370" s="27"/>
      <c r="F370" s="27"/>
      <c r="G370" s="27"/>
      <c r="H370" s="27"/>
      <c r="I370" s="27"/>
      <c r="J370" s="27"/>
      <c r="K370" s="27"/>
      <c r="L370" s="27"/>
      <c r="M370" s="27"/>
      <c r="N370" s="27"/>
      <c r="O370" s="27"/>
      <c r="P370" s="27"/>
      <c r="Q370" s="27"/>
      <c r="R370" s="27"/>
      <c r="S370" s="27"/>
      <c r="T370" s="27"/>
      <c r="U370" s="27"/>
      <c r="V370" s="27"/>
      <c r="W370" s="27"/>
      <c r="X370" s="27"/>
    </row>
    <row r="371" spans="1:24" x14ac:dyDescent="0.2">
      <c r="A371" s="27"/>
      <c r="B371" s="27"/>
      <c r="C371" s="27"/>
      <c r="D371" s="27"/>
      <c r="E371" s="27"/>
      <c r="F371" s="27"/>
      <c r="G371" s="27"/>
      <c r="H371" s="27"/>
      <c r="I371" s="27"/>
      <c r="J371" s="27"/>
      <c r="K371" s="27"/>
      <c r="L371" s="27"/>
      <c r="M371" s="27"/>
      <c r="N371" s="27"/>
      <c r="O371" s="27"/>
      <c r="P371" s="27"/>
      <c r="Q371" s="27"/>
      <c r="R371" s="27"/>
      <c r="S371" s="27"/>
      <c r="T371" s="27"/>
      <c r="U371" s="27"/>
      <c r="V371" s="27"/>
      <c r="W371" s="27"/>
      <c r="X371" s="27"/>
    </row>
    <row r="372" spans="1:24" x14ac:dyDescent="0.2">
      <c r="A372" s="27"/>
      <c r="B372" s="27"/>
      <c r="C372" s="27"/>
      <c r="D372" s="27"/>
      <c r="E372" s="27"/>
      <c r="F372" s="27"/>
      <c r="G372" s="27"/>
      <c r="H372" s="27"/>
      <c r="I372" s="27"/>
      <c r="J372" s="27"/>
      <c r="K372" s="27"/>
      <c r="L372" s="27"/>
      <c r="M372" s="27"/>
      <c r="N372" s="27"/>
      <c r="O372" s="27"/>
      <c r="P372" s="27"/>
      <c r="Q372" s="27"/>
      <c r="R372" s="27"/>
      <c r="S372" s="27"/>
      <c r="T372" s="27"/>
      <c r="U372" s="27"/>
      <c r="V372" s="27"/>
      <c r="W372" s="27"/>
      <c r="X372" s="27"/>
    </row>
    <row r="373" spans="1:24" x14ac:dyDescent="0.2">
      <c r="A373" s="27"/>
      <c r="B373" s="27"/>
      <c r="C373" s="27"/>
      <c r="D373" s="27"/>
      <c r="E373" s="27"/>
      <c r="F373" s="27"/>
      <c r="G373" s="27"/>
      <c r="H373" s="27"/>
      <c r="I373" s="27"/>
      <c r="J373" s="27"/>
      <c r="K373" s="27"/>
      <c r="L373" s="27"/>
      <c r="M373" s="27"/>
      <c r="N373" s="27"/>
      <c r="O373" s="27"/>
      <c r="P373" s="27"/>
      <c r="Q373" s="27"/>
      <c r="R373" s="27"/>
      <c r="S373" s="27"/>
      <c r="T373" s="27"/>
      <c r="U373" s="27"/>
      <c r="V373" s="27"/>
      <c r="W373" s="27"/>
      <c r="X373" s="27"/>
    </row>
    <row r="374" spans="1:24" x14ac:dyDescent="0.2">
      <c r="A374" s="27"/>
      <c r="B374" s="27"/>
      <c r="C374" s="27"/>
      <c r="D374" s="27"/>
      <c r="E374" s="27"/>
      <c r="F374" s="27"/>
      <c r="G374" s="27"/>
      <c r="H374" s="27"/>
      <c r="I374" s="27"/>
      <c r="J374" s="27"/>
      <c r="K374" s="27"/>
      <c r="L374" s="27"/>
      <c r="M374" s="27"/>
      <c r="N374" s="27"/>
      <c r="O374" s="27"/>
      <c r="P374" s="27"/>
      <c r="Q374" s="27"/>
      <c r="R374" s="27"/>
      <c r="S374" s="27"/>
      <c r="T374" s="27"/>
      <c r="U374" s="27"/>
      <c r="V374" s="27"/>
      <c r="W374" s="27"/>
      <c r="X374" s="27"/>
    </row>
    <row r="375" spans="1:24" x14ac:dyDescent="0.2">
      <c r="A375" s="27"/>
      <c r="B375" s="27"/>
      <c r="C375" s="27"/>
      <c r="D375" s="27"/>
      <c r="E375" s="27"/>
      <c r="F375" s="27"/>
      <c r="G375" s="27"/>
      <c r="H375" s="27"/>
      <c r="I375" s="27"/>
      <c r="J375" s="27"/>
      <c r="K375" s="27"/>
      <c r="L375" s="27"/>
      <c r="M375" s="27"/>
      <c r="N375" s="27"/>
      <c r="O375" s="27"/>
      <c r="P375" s="27"/>
      <c r="Q375" s="27"/>
      <c r="R375" s="27"/>
      <c r="S375" s="27"/>
      <c r="T375" s="27"/>
      <c r="U375" s="27"/>
      <c r="V375" s="27"/>
      <c r="W375" s="27"/>
      <c r="X375" s="27"/>
    </row>
    <row r="376" spans="1:24" x14ac:dyDescent="0.2">
      <c r="A376" s="27"/>
      <c r="B376" s="27"/>
      <c r="C376" s="27"/>
      <c r="D376" s="27"/>
      <c r="E376" s="27"/>
      <c r="F376" s="27"/>
      <c r="G376" s="27"/>
      <c r="H376" s="27"/>
      <c r="I376" s="27"/>
      <c r="J376" s="27"/>
      <c r="K376" s="27"/>
      <c r="L376" s="27"/>
      <c r="M376" s="27"/>
      <c r="N376" s="27"/>
      <c r="O376" s="27"/>
      <c r="P376" s="27"/>
      <c r="Q376" s="27"/>
      <c r="R376" s="27"/>
      <c r="S376" s="27"/>
      <c r="T376" s="27"/>
      <c r="U376" s="27"/>
      <c r="V376" s="27"/>
      <c r="W376" s="27"/>
      <c r="X376" s="27"/>
    </row>
    <row r="377" spans="1:24" x14ac:dyDescent="0.2">
      <c r="A377" s="27"/>
      <c r="B377" s="27"/>
      <c r="C377" s="27"/>
      <c r="D377" s="27"/>
      <c r="E377" s="27"/>
      <c r="F377" s="27"/>
      <c r="G377" s="27"/>
      <c r="H377" s="27"/>
      <c r="I377" s="27"/>
      <c r="J377" s="27"/>
      <c r="K377" s="27"/>
      <c r="L377" s="27"/>
      <c r="M377" s="27"/>
      <c r="N377" s="27"/>
      <c r="O377" s="27"/>
      <c r="P377" s="27"/>
      <c r="Q377" s="27"/>
      <c r="R377" s="27"/>
      <c r="S377" s="27"/>
      <c r="T377" s="27"/>
      <c r="U377" s="27"/>
      <c r="V377" s="27"/>
      <c r="W377" s="27"/>
      <c r="X377" s="27"/>
    </row>
    <row r="378" spans="1:24" x14ac:dyDescent="0.2">
      <c r="A378" s="27"/>
      <c r="B378" s="27"/>
      <c r="C378" s="27"/>
      <c r="D378" s="27"/>
      <c r="E378" s="27"/>
      <c r="F378" s="27"/>
      <c r="G378" s="27"/>
      <c r="H378" s="27"/>
      <c r="I378" s="27"/>
      <c r="J378" s="27"/>
      <c r="K378" s="27"/>
      <c r="L378" s="27"/>
      <c r="M378" s="27"/>
      <c r="N378" s="27"/>
      <c r="O378" s="27"/>
      <c r="P378" s="27"/>
      <c r="Q378" s="27"/>
      <c r="R378" s="27"/>
      <c r="S378" s="27"/>
      <c r="T378" s="27"/>
      <c r="U378" s="27"/>
      <c r="V378" s="27"/>
      <c r="W378" s="27"/>
      <c r="X378" s="27"/>
    </row>
    <row r="379" spans="1:24" x14ac:dyDescent="0.2">
      <c r="A379" s="27"/>
      <c r="B379" s="27"/>
      <c r="C379" s="27"/>
      <c r="D379" s="27"/>
      <c r="E379" s="27"/>
      <c r="F379" s="27"/>
      <c r="G379" s="27"/>
      <c r="H379" s="27"/>
      <c r="I379" s="27"/>
      <c r="J379" s="27"/>
      <c r="K379" s="27"/>
      <c r="L379" s="27"/>
      <c r="M379" s="27"/>
      <c r="N379" s="27"/>
      <c r="O379" s="27"/>
      <c r="P379" s="27"/>
      <c r="Q379" s="27"/>
      <c r="R379" s="27"/>
      <c r="S379" s="27"/>
      <c r="T379" s="27"/>
      <c r="U379" s="27"/>
      <c r="V379" s="27"/>
      <c r="W379" s="27"/>
      <c r="X379" s="27"/>
    </row>
    <row r="380" spans="1:24" x14ac:dyDescent="0.2">
      <c r="A380" s="27"/>
      <c r="B380" s="27"/>
      <c r="C380" s="27"/>
      <c r="D380" s="27"/>
      <c r="E380" s="27"/>
      <c r="F380" s="27"/>
      <c r="G380" s="27"/>
      <c r="H380" s="27"/>
      <c r="I380" s="27"/>
      <c r="J380" s="27"/>
      <c r="K380" s="27"/>
      <c r="L380" s="27"/>
      <c r="M380" s="27"/>
      <c r="N380" s="27"/>
      <c r="O380" s="27"/>
      <c r="P380" s="27"/>
      <c r="Q380" s="27"/>
      <c r="R380" s="27"/>
      <c r="S380" s="27"/>
      <c r="T380" s="27"/>
      <c r="U380" s="27"/>
      <c r="V380" s="27"/>
      <c r="W380" s="27"/>
      <c r="X380" s="27"/>
    </row>
    <row r="381" spans="1:24" x14ac:dyDescent="0.2">
      <c r="A381" s="27"/>
      <c r="B381" s="27"/>
      <c r="C381" s="27"/>
      <c r="D381" s="27"/>
      <c r="E381" s="27"/>
      <c r="F381" s="27"/>
      <c r="G381" s="27"/>
      <c r="H381" s="27"/>
      <c r="I381" s="27"/>
      <c r="J381" s="27"/>
      <c r="K381" s="27"/>
      <c r="L381" s="27"/>
      <c r="M381" s="27"/>
      <c r="N381" s="27"/>
      <c r="O381" s="27"/>
      <c r="P381" s="27"/>
      <c r="Q381" s="27"/>
      <c r="R381" s="27"/>
      <c r="S381" s="27"/>
      <c r="T381" s="27"/>
      <c r="U381" s="27"/>
      <c r="V381" s="27"/>
      <c r="W381" s="27"/>
      <c r="X381" s="27"/>
    </row>
    <row r="382" spans="1:24" x14ac:dyDescent="0.2">
      <c r="A382" s="27"/>
      <c r="B382" s="27"/>
      <c r="C382" s="27"/>
      <c r="D382" s="27"/>
      <c r="E382" s="27"/>
      <c r="F382" s="27"/>
      <c r="G382" s="27"/>
      <c r="H382" s="27"/>
      <c r="I382" s="27"/>
      <c r="J382" s="27"/>
      <c r="K382" s="27"/>
      <c r="L382" s="27"/>
      <c r="M382" s="27"/>
      <c r="N382" s="27"/>
      <c r="O382" s="27"/>
      <c r="P382" s="27"/>
      <c r="Q382" s="27"/>
      <c r="R382" s="27"/>
      <c r="S382" s="27"/>
      <c r="T382" s="27"/>
      <c r="U382" s="27"/>
      <c r="V382" s="27"/>
      <c r="W382" s="27"/>
      <c r="X382" s="27"/>
    </row>
    <row r="383" spans="1:24" x14ac:dyDescent="0.2">
      <c r="A383" s="27"/>
      <c r="B383" s="27"/>
      <c r="C383" s="27"/>
      <c r="D383" s="27"/>
      <c r="E383" s="27"/>
      <c r="F383" s="27"/>
      <c r="G383" s="27"/>
      <c r="H383" s="27"/>
      <c r="I383" s="27"/>
      <c r="J383" s="27"/>
      <c r="K383" s="27"/>
      <c r="L383" s="27"/>
      <c r="M383" s="27"/>
      <c r="N383" s="27"/>
      <c r="O383" s="27"/>
      <c r="P383" s="27"/>
      <c r="Q383" s="27"/>
      <c r="R383" s="27"/>
      <c r="S383" s="27"/>
      <c r="T383" s="27"/>
      <c r="U383" s="27"/>
      <c r="V383" s="27"/>
      <c r="W383" s="27"/>
      <c r="X383" s="27"/>
    </row>
    <row r="384" spans="1:24" x14ac:dyDescent="0.2">
      <c r="A384" s="27"/>
      <c r="B384" s="27"/>
      <c r="C384" s="27"/>
      <c r="D384" s="27"/>
      <c r="E384" s="27"/>
      <c r="F384" s="27"/>
      <c r="G384" s="27"/>
      <c r="H384" s="27"/>
      <c r="I384" s="27"/>
      <c r="J384" s="27"/>
      <c r="K384" s="27"/>
      <c r="L384" s="27"/>
      <c r="M384" s="27"/>
      <c r="N384" s="27"/>
      <c r="O384" s="27"/>
      <c r="P384" s="27"/>
      <c r="Q384" s="27"/>
      <c r="R384" s="27"/>
      <c r="S384" s="27"/>
      <c r="T384" s="27"/>
      <c r="U384" s="27"/>
      <c r="V384" s="27"/>
      <c r="W384" s="27"/>
      <c r="X384" s="27"/>
    </row>
    <row r="385" spans="1:24" x14ac:dyDescent="0.2">
      <c r="A385" s="27"/>
      <c r="B385" s="27"/>
      <c r="C385" s="27"/>
      <c r="D385" s="27"/>
      <c r="E385" s="27"/>
      <c r="F385" s="27"/>
      <c r="G385" s="27"/>
      <c r="H385" s="27"/>
      <c r="I385" s="27"/>
      <c r="J385" s="27"/>
      <c r="K385" s="27"/>
      <c r="L385" s="27"/>
      <c r="M385" s="27"/>
      <c r="N385" s="27"/>
      <c r="O385" s="27"/>
      <c r="P385" s="27"/>
      <c r="Q385" s="27"/>
      <c r="R385" s="27"/>
      <c r="S385" s="27"/>
      <c r="T385" s="27"/>
      <c r="U385" s="27"/>
      <c r="V385" s="27"/>
      <c r="W385" s="27"/>
      <c r="X385" s="27"/>
    </row>
    <row r="386" spans="1:24" x14ac:dyDescent="0.2">
      <c r="A386" s="27"/>
      <c r="B386" s="27"/>
      <c r="C386" s="27"/>
      <c r="D386" s="27"/>
      <c r="E386" s="27"/>
      <c r="F386" s="27"/>
      <c r="G386" s="27"/>
      <c r="H386" s="27"/>
      <c r="I386" s="27"/>
      <c r="J386" s="27"/>
      <c r="K386" s="27"/>
      <c r="L386" s="27"/>
      <c r="M386" s="27"/>
      <c r="N386" s="27"/>
      <c r="O386" s="27"/>
      <c r="P386" s="27"/>
      <c r="Q386" s="27"/>
      <c r="R386" s="27"/>
      <c r="S386" s="27"/>
      <c r="T386" s="27"/>
      <c r="U386" s="27"/>
      <c r="V386" s="27"/>
      <c r="W386" s="27"/>
      <c r="X386" s="27"/>
    </row>
    <row r="387" spans="1:24" x14ac:dyDescent="0.2">
      <c r="A387" s="27"/>
      <c r="B387" s="27"/>
      <c r="C387" s="27"/>
      <c r="D387" s="27"/>
      <c r="E387" s="27"/>
      <c r="F387" s="27"/>
      <c r="G387" s="27"/>
      <c r="H387" s="27"/>
      <c r="I387" s="27"/>
      <c r="J387" s="27"/>
      <c r="K387" s="27"/>
      <c r="L387" s="27"/>
      <c r="M387" s="27"/>
      <c r="N387" s="27"/>
      <c r="O387" s="27"/>
      <c r="P387" s="27"/>
      <c r="Q387" s="27"/>
      <c r="R387" s="27"/>
      <c r="S387" s="27"/>
      <c r="T387" s="27"/>
      <c r="U387" s="27"/>
      <c r="V387" s="27"/>
      <c r="W387" s="27"/>
      <c r="X387" s="27"/>
    </row>
    <row r="388" spans="1:24" x14ac:dyDescent="0.2">
      <c r="A388" s="27"/>
      <c r="B388" s="27"/>
      <c r="C388" s="27"/>
      <c r="D388" s="27"/>
      <c r="E388" s="27"/>
      <c r="F388" s="27"/>
      <c r="G388" s="27"/>
      <c r="H388" s="27"/>
      <c r="I388" s="27"/>
      <c r="J388" s="27"/>
      <c r="K388" s="27"/>
      <c r="L388" s="27"/>
      <c r="M388" s="27"/>
      <c r="N388" s="27"/>
      <c r="O388" s="27"/>
      <c r="P388" s="27"/>
      <c r="Q388" s="27"/>
      <c r="R388" s="27"/>
      <c r="S388" s="27"/>
      <c r="T388" s="27"/>
      <c r="U388" s="27"/>
      <c r="V388" s="27"/>
      <c r="W388" s="27"/>
      <c r="X388" s="27"/>
    </row>
    <row r="389" spans="1:24" x14ac:dyDescent="0.2">
      <c r="A389" s="27"/>
      <c r="B389" s="27"/>
      <c r="C389" s="27"/>
      <c r="D389" s="27"/>
      <c r="E389" s="27"/>
      <c r="F389" s="27"/>
      <c r="G389" s="27"/>
      <c r="H389" s="27"/>
      <c r="I389" s="27"/>
      <c r="J389" s="27"/>
      <c r="K389" s="27"/>
      <c r="L389" s="27"/>
      <c r="M389" s="27"/>
      <c r="N389" s="27"/>
      <c r="O389" s="27"/>
      <c r="P389" s="27"/>
      <c r="Q389" s="27"/>
      <c r="R389" s="27"/>
      <c r="S389" s="27"/>
      <c r="T389" s="27"/>
      <c r="U389" s="27"/>
      <c r="V389" s="27"/>
      <c r="W389" s="27"/>
      <c r="X389" s="27"/>
    </row>
    <row r="390" spans="1:24" x14ac:dyDescent="0.2">
      <c r="A390" s="27"/>
      <c r="B390" s="27"/>
      <c r="C390" s="27"/>
      <c r="D390" s="27"/>
      <c r="E390" s="27"/>
      <c r="F390" s="27"/>
      <c r="G390" s="27"/>
      <c r="H390" s="27"/>
      <c r="I390" s="27"/>
      <c r="J390" s="27"/>
      <c r="K390" s="27"/>
      <c r="L390" s="27"/>
      <c r="M390" s="27"/>
      <c r="N390" s="27"/>
      <c r="O390" s="27"/>
      <c r="P390" s="27"/>
      <c r="Q390" s="27"/>
      <c r="R390" s="27"/>
      <c r="S390" s="27"/>
      <c r="T390" s="27"/>
      <c r="U390" s="27"/>
      <c r="V390" s="27"/>
      <c r="W390" s="27"/>
      <c r="X390" s="27"/>
    </row>
    <row r="391" spans="1:24" x14ac:dyDescent="0.2">
      <c r="A391" s="27"/>
      <c r="B391" s="27"/>
      <c r="C391" s="27"/>
      <c r="D391" s="27"/>
      <c r="E391" s="27"/>
      <c r="F391" s="27"/>
      <c r="G391" s="27"/>
      <c r="H391" s="27"/>
      <c r="I391" s="27"/>
      <c r="J391" s="27"/>
      <c r="K391" s="27"/>
      <c r="L391" s="27"/>
      <c r="M391" s="27"/>
      <c r="N391" s="27"/>
      <c r="O391" s="27"/>
      <c r="P391" s="27"/>
      <c r="Q391" s="27"/>
      <c r="R391" s="27"/>
      <c r="S391" s="27"/>
      <c r="T391" s="27"/>
      <c r="U391" s="27"/>
      <c r="V391" s="27"/>
      <c r="W391" s="27"/>
      <c r="X391" s="27"/>
    </row>
    <row r="392" spans="1:24" x14ac:dyDescent="0.2">
      <c r="A392" s="27"/>
      <c r="B392" s="27"/>
      <c r="C392" s="27"/>
      <c r="D392" s="27"/>
      <c r="E392" s="27"/>
      <c r="F392" s="27"/>
      <c r="G392" s="27"/>
      <c r="H392" s="27"/>
      <c r="I392" s="27"/>
      <c r="J392" s="27"/>
      <c r="K392" s="27"/>
      <c r="L392" s="27"/>
      <c r="M392" s="27"/>
      <c r="N392" s="27"/>
      <c r="O392" s="27"/>
      <c r="P392" s="27"/>
      <c r="Q392" s="27"/>
      <c r="R392" s="27"/>
      <c r="S392" s="27"/>
      <c r="T392" s="27"/>
      <c r="U392" s="27"/>
      <c r="V392" s="27"/>
      <c r="W392" s="27"/>
      <c r="X392" s="27"/>
    </row>
    <row r="393" spans="1:24" x14ac:dyDescent="0.2">
      <c r="A393" s="27"/>
      <c r="B393" s="27"/>
      <c r="C393" s="27"/>
      <c r="D393" s="27"/>
      <c r="E393" s="27"/>
      <c r="F393" s="27"/>
      <c r="G393" s="27"/>
      <c r="H393" s="27"/>
      <c r="I393" s="27"/>
      <c r="J393" s="27"/>
      <c r="K393" s="27"/>
      <c r="L393" s="27"/>
      <c r="M393" s="27"/>
      <c r="N393" s="27"/>
      <c r="O393" s="27"/>
      <c r="P393" s="27"/>
      <c r="Q393" s="27"/>
      <c r="R393" s="27"/>
      <c r="S393" s="27"/>
      <c r="T393" s="27"/>
      <c r="U393" s="27"/>
      <c r="V393" s="27"/>
      <c r="W393" s="27"/>
      <c r="X393" s="27"/>
    </row>
    <row r="394" spans="1:24" x14ac:dyDescent="0.2">
      <c r="A394" s="27"/>
      <c r="B394" s="27"/>
      <c r="C394" s="27"/>
      <c r="D394" s="27"/>
      <c r="E394" s="27"/>
      <c r="F394" s="27"/>
      <c r="G394" s="27"/>
      <c r="H394" s="27"/>
      <c r="I394" s="27"/>
      <c r="J394" s="27"/>
      <c r="K394" s="27"/>
      <c r="L394" s="27"/>
      <c r="M394" s="27"/>
      <c r="N394" s="27"/>
      <c r="O394" s="27"/>
      <c r="P394" s="27"/>
      <c r="Q394" s="27"/>
      <c r="R394" s="27"/>
      <c r="S394" s="27"/>
      <c r="T394" s="27"/>
      <c r="U394" s="27"/>
      <c r="V394" s="27"/>
      <c r="W394" s="27"/>
      <c r="X394" s="27"/>
    </row>
    <row r="395" spans="1:24" x14ac:dyDescent="0.2">
      <c r="A395" s="27"/>
      <c r="B395" s="27"/>
      <c r="C395" s="27"/>
      <c r="D395" s="27"/>
      <c r="E395" s="27"/>
      <c r="F395" s="27"/>
      <c r="G395" s="27"/>
      <c r="H395" s="27"/>
      <c r="I395" s="27"/>
      <c r="J395" s="27"/>
      <c r="K395" s="27"/>
      <c r="L395" s="27"/>
      <c r="M395" s="27"/>
      <c r="N395" s="27"/>
      <c r="O395" s="27"/>
      <c r="P395" s="27"/>
      <c r="Q395" s="27"/>
      <c r="R395" s="27"/>
      <c r="S395" s="27"/>
      <c r="T395" s="27"/>
      <c r="U395" s="27"/>
      <c r="V395" s="27"/>
      <c r="W395" s="27"/>
      <c r="X395" s="27"/>
    </row>
    <row r="396" spans="1:24" x14ac:dyDescent="0.2">
      <c r="A396" s="27"/>
      <c r="B396" s="27"/>
      <c r="C396" s="27"/>
      <c r="D396" s="27"/>
      <c r="E396" s="27"/>
      <c r="F396" s="27"/>
      <c r="G396" s="27"/>
      <c r="H396" s="27"/>
      <c r="I396" s="27"/>
      <c r="J396" s="27"/>
      <c r="K396" s="27"/>
      <c r="L396" s="27"/>
      <c r="M396" s="27"/>
      <c r="N396" s="27"/>
      <c r="O396" s="27"/>
      <c r="P396" s="27"/>
      <c r="Q396" s="27"/>
      <c r="R396" s="27"/>
      <c r="S396" s="27"/>
      <c r="T396" s="27"/>
      <c r="U396" s="27"/>
      <c r="V396" s="27"/>
      <c r="W396" s="27"/>
      <c r="X396" s="27"/>
    </row>
    <row r="397" spans="1:24" x14ac:dyDescent="0.2">
      <c r="A397" s="27"/>
      <c r="B397" s="27"/>
      <c r="C397" s="27"/>
      <c r="D397" s="27"/>
      <c r="E397" s="27"/>
      <c r="F397" s="27"/>
      <c r="G397" s="27"/>
      <c r="H397" s="27"/>
      <c r="I397" s="27"/>
      <c r="J397" s="27"/>
      <c r="K397" s="27"/>
      <c r="L397" s="27"/>
      <c r="M397" s="27"/>
      <c r="N397" s="27"/>
      <c r="O397" s="27"/>
      <c r="P397" s="27"/>
      <c r="Q397" s="27"/>
      <c r="R397" s="27"/>
      <c r="S397" s="27"/>
      <c r="T397" s="27"/>
      <c r="U397" s="27"/>
      <c r="V397" s="27"/>
      <c r="W397" s="27"/>
      <c r="X397" s="27"/>
    </row>
    <row r="398" spans="1:24" x14ac:dyDescent="0.2">
      <c r="A398" s="27"/>
      <c r="B398" s="27"/>
      <c r="C398" s="27"/>
      <c r="D398" s="27"/>
      <c r="E398" s="27"/>
      <c r="F398" s="27"/>
      <c r="G398" s="27"/>
      <c r="H398" s="27"/>
      <c r="I398" s="27"/>
      <c r="J398" s="27"/>
      <c r="K398" s="27"/>
      <c r="L398" s="27"/>
      <c r="M398" s="27"/>
      <c r="N398" s="27"/>
      <c r="O398" s="27"/>
      <c r="P398" s="27"/>
      <c r="Q398" s="27"/>
      <c r="R398" s="27"/>
      <c r="S398" s="27"/>
      <c r="T398" s="27"/>
      <c r="U398" s="27"/>
      <c r="V398" s="27"/>
      <c r="W398" s="27"/>
      <c r="X398" s="27"/>
    </row>
    <row r="399" spans="1:24" x14ac:dyDescent="0.2">
      <c r="A399" s="27"/>
      <c r="B399" s="27"/>
      <c r="C399" s="27"/>
      <c r="D399" s="27"/>
      <c r="E399" s="27"/>
      <c r="F399" s="27"/>
      <c r="G399" s="27"/>
      <c r="H399" s="27"/>
      <c r="I399" s="27"/>
      <c r="J399" s="27"/>
      <c r="K399" s="27"/>
      <c r="L399" s="27"/>
      <c r="M399" s="27"/>
      <c r="N399" s="27"/>
      <c r="O399" s="27"/>
      <c r="P399" s="27"/>
      <c r="Q399" s="27"/>
      <c r="R399" s="27"/>
      <c r="S399" s="27"/>
      <c r="T399" s="27"/>
      <c r="U399" s="27"/>
      <c r="V399" s="27"/>
      <c r="W399" s="27"/>
      <c r="X399" s="27"/>
    </row>
    <row r="400" spans="1:24" x14ac:dyDescent="0.2">
      <c r="A400" s="27"/>
      <c r="B400" s="27"/>
      <c r="C400" s="27"/>
      <c r="D400" s="27"/>
      <c r="E400" s="27"/>
      <c r="F400" s="27"/>
      <c r="G400" s="27"/>
      <c r="H400" s="27"/>
      <c r="I400" s="27"/>
      <c r="J400" s="27"/>
      <c r="K400" s="27"/>
      <c r="L400" s="27"/>
      <c r="M400" s="27"/>
      <c r="N400" s="27"/>
      <c r="O400" s="27"/>
      <c r="P400" s="27"/>
      <c r="Q400" s="27"/>
      <c r="R400" s="27"/>
      <c r="S400" s="27"/>
      <c r="T400" s="27"/>
      <c r="U400" s="27"/>
      <c r="V400" s="27"/>
      <c r="W400" s="27"/>
      <c r="X400" s="27"/>
    </row>
    <row r="401" spans="1:24" x14ac:dyDescent="0.2">
      <c r="A401" s="27"/>
      <c r="B401" s="27"/>
      <c r="C401" s="27"/>
      <c r="D401" s="27"/>
      <c r="E401" s="27"/>
      <c r="F401" s="27"/>
      <c r="G401" s="27"/>
      <c r="H401" s="27"/>
      <c r="I401" s="27"/>
      <c r="J401" s="27"/>
      <c r="K401" s="27"/>
      <c r="L401" s="27"/>
      <c r="M401" s="27"/>
      <c r="N401" s="27"/>
      <c r="O401" s="27"/>
      <c r="P401" s="27"/>
      <c r="Q401" s="27"/>
      <c r="R401" s="27"/>
      <c r="S401" s="27"/>
      <c r="T401" s="27"/>
      <c r="U401" s="27"/>
      <c r="V401" s="27"/>
      <c r="W401" s="27"/>
      <c r="X401" s="27"/>
    </row>
    <row r="402" spans="1:24" x14ac:dyDescent="0.2">
      <c r="A402" s="27"/>
      <c r="B402" s="27"/>
      <c r="C402" s="27"/>
      <c r="D402" s="27"/>
      <c r="E402" s="27"/>
      <c r="F402" s="27"/>
      <c r="G402" s="27"/>
      <c r="H402" s="27"/>
      <c r="I402" s="27"/>
      <c r="J402" s="27"/>
      <c r="K402" s="27"/>
      <c r="L402" s="27"/>
      <c r="M402" s="27"/>
      <c r="N402" s="27"/>
      <c r="O402" s="27"/>
      <c r="P402" s="27"/>
      <c r="Q402" s="27"/>
      <c r="R402" s="27"/>
      <c r="S402" s="27"/>
      <c r="T402" s="27"/>
      <c r="U402" s="27"/>
      <c r="V402" s="27"/>
      <c r="W402" s="27"/>
      <c r="X402" s="27"/>
    </row>
    <row r="403" spans="1:24" x14ac:dyDescent="0.2">
      <c r="A403" s="27"/>
      <c r="B403" s="27"/>
      <c r="C403" s="27"/>
      <c r="D403" s="27"/>
      <c r="E403" s="27"/>
      <c r="F403" s="27"/>
      <c r="G403" s="27"/>
      <c r="H403" s="27"/>
      <c r="I403" s="27"/>
      <c r="J403" s="27"/>
      <c r="K403" s="27"/>
      <c r="L403" s="27"/>
      <c r="M403" s="27"/>
      <c r="N403" s="27"/>
      <c r="O403" s="27"/>
      <c r="P403" s="27"/>
      <c r="Q403" s="27"/>
      <c r="R403" s="27"/>
      <c r="S403" s="27"/>
      <c r="T403" s="27"/>
      <c r="U403" s="27"/>
      <c r="V403" s="27"/>
      <c r="W403" s="27"/>
      <c r="X403" s="27"/>
    </row>
    <row r="404" spans="1:24" x14ac:dyDescent="0.2">
      <c r="A404" s="27"/>
      <c r="B404" s="27"/>
      <c r="C404" s="27"/>
      <c r="D404" s="27"/>
      <c r="E404" s="27"/>
      <c r="F404" s="27"/>
      <c r="G404" s="27"/>
      <c r="H404" s="27"/>
      <c r="I404" s="27"/>
      <c r="J404" s="27"/>
      <c r="K404" s="27"/>
      <c r="L404" s="27"/>
      <c r="M404" s="27"/>
      <c r="N404" s="27"/>
      <c r="O404" s="27"/>
      <c r="P404" s="27"/>
      <c r="Q404" s="27"/>
      <c r="R404" s="27"/>
      <c r="S404" s="27"/>
      <c r="T404" s="27"/>
      <c r="U404" s="27"/>
      <c r="V404" s="27"/>
      <c r="W404" s="27"/>
      <c r="X404" s="27"/>
    </row>
    <row r="405" spans="1:24" x14ac:dyDescent="0.2">
      <c r="A405" s="27"/>
      <c r="B405" s="27"/>
      <c r="C405" s="27"/>
      <c r="D405" s="27"/>
      <c r="E405" s="27"/>
      <c r="F405" s="27"/>
      <c r="G405" s="27"/>
      <c r="H405" s="27"/>
      <c r="I405" s="27"/>
      <c r="J405" s="27"/>
      <c r="K405" s="27"/>
      <c r="L405" s="27"/>
      <c r="M405" s="27"/>
      <c r="N405" s="27"/>
      <c r="O405" s="27"/>
      <c r="P405" s="27"/>
      <c r="Q405" s="27"/>
      <c r="R405" s="27"/>
      <c r="S405" s="27"/>
      <c r="T405" s="27"/>
      <c r="U405" s="27"/>
      <c r="V405" s="27"/>
      <c r="W405" s="27"/>
      <c r="X405" s="27"/>
    </row>
    <row r="406" spans="1:24" x14ac:dyDescent="0.2">
      <c r="A406" s="27"/>
      <c r="B406" s="27"/>
      <c r="C406" s="27"/>
      <c r="D406" s="27"/>
      <c r="E406" s="27"/>
      <c r="F406" s="27"/>
      <c r="G406" s="27"/>
      <c r="H406" s="27"/>
      <c r="I406" s="27"/>
      <c r="J406" s="27"/>
      <c r="K406" s="27"/>
      <c r="L406" s="27"/>
      <c r="M406" s="27"/>
      <c r="N406" s="27"/>
      <c r="O406" s="27"/>
      <c r="P406" s="27"/>
      <c r="Q406" s="27"/>
      <c r="R406" s="27"/>
      <c r="S406" s="27"/>
      <c r="T406" s="27"/>
      <c r="U406" s="27"/>
      <c r="V406" s="27"/>
      <c r="W406" s="27"/>
      <c r="X406" s="27"/>
    </row>
    <row r="407" spans="1:24" x14ac:dyDescent="0.2">
      <c r="A407" s="27"/>
      <c r="B407" s="27"/>
      <c r="C407" s="27"/>
      <c r="D407" s="27"/>
      <c r="E407" s="27"/>
      <c r="F407" s="27"/>
      <c r="G407" s="27"/>
      <c r="H407" s="27"/>
      <c r="I407" s="27"/>
      <c r="J407" s="27"/>
      <c r="K407" s="27"/>
      <c r="L407" s="27"/>
      <c r="M407" s="27"/>
      <c r="N407" s="27"/>
      <c r="O407" s="27"/>
      <c r="P407" s="27"/>
      <c r="Q407" s="27"/>
      <c r="R407" s="27"/>
      <c r="S407" s="27"/>
      <c r="T407" s="27"/>
      <c r="U407" s="27"/>
      <c r="V407" s="27"/>
      <c r="W407" s="27"/>
      <c r="X407" s="27"/>
    </row>
    <row r="408" spans="1:24" x14ac:dyDescent="0.2">
      <c r="A408" s="27"/>
      <c r="B408" s="27"/>
      <c r="C408" s="27"/>
      <c r="D408" s="27"/>
      <c r="E408" s="27"/>
      <c r="F408" s="27"/>
      <c r="G408" s="27"/>
      <c r="H408" s="27"/>
      <c r="I408" s="27"/>
      <c r="J408" s="27"/>
      <c r="K408" s="27"/>
      <c r="L408" s="27"/>
      <c r="M408" s="27"/>
      <c r="N408" s="27"/>
      <c r="O408" s="27"/>
      <c r="P408" s="27"/>
      <c r="Q408" s="27"/>
      <c r="R408" s="27"/>
      <c r="S408" s="27"/>
      <c r="T408" s="27"/>
      <c r="U408" s="27"/>
      <c r="V408" s="27"/>
      <c r="W408" s="27"/>
      <c r="X408" s="27"/>
    </row>
    <row r="409" spans="1:24" x14ac:dyDescent="0.2">
      <c r="A409" s="27"/>
      <c r="B409" s="27"/>
      <c r="C409" s="27"/>
      <c r="D409" s="27"/>
      <c r="E409" s="27"/>
      <c r="F409" s="27"/>
      <c r="G409" s="27"/>
      <c r="H409" s="27"/>
      <c r="I409" s="27"/>
      <c r="J409" s="27"/>
      <c r="K409" s="27"/>
      <c r="L409" s="27"/>
      <c r="M409" s="27"/>
      <c r="N409" s="27"/>
      <c r="O409" s="27"/>
      <c r="P409" s="27"/>
      <c r="Q409" s="27"/>
      <c r="R409" s="27"/>
      <c r="S409" s="27"/>
      <c r="T409" s="27"/>
      <c r="U409" s="27"/>
      <c r="V409" s="27"/>
      <c r="W409" s="27"/>
      <c r="X409" s="27"/>
    </row>
    <row r="410" spans="1:24" x14ac:dyDescent="0.2">
      <c r="A410" s="27"/>
      <c r="B410" s="27"/>
      <c r="C410" s="27"/>
      <c r="D410" s="27"/>
      <c r="E410" s="27"/>
      <c r="F410" s="27"/>
      <c r="G410" s="27"/>
      <c r="H410" s="27"/>
      <c r="I410" s="27"/>
      <c r="J410" s="27"/>
      <c r="K410" s="27"/>
      <c r="L410" s="27"/>
      <c r="M410" s="27"/>
      <c r="N410" s="27"/>
      <c r="O410" s="27"/>
      <c r="P410" s="27"/>
      <c r="Q410" s="27"/>
      <c r="R410" s="27"/>
      <c r="S410" s="27"/>
      <c r="T410" s="27"/>
      <c r="U410" s="27"/>
      <c r="V410" s="27"/>
      <c r="W410" s="27"/>
      <c r="X410" s="27"/>
    </row>
    <row r="411" spans="1:24" x14ac:dyDescent="0.2">
      <c r="A411" s="27"/>
      <c r="B411" s="27"/>
      <c r="C411" s="27"/>
      <c r="D411" s="27"/>
      <c r="E411" s="27"/>
      <c r="F411" s="27"/>
      <c r="G411" s="27"/>
      <c r="H411" s="27"/>
      <c r="I411" s="27"/>
      <c r="J411" s="27"/>
      <c r="K411" s="27"/>
      <c r="L411" s="27"/>
      <c r="M411" s="27"/>
      <c r="N411" s="27"/>
      <c r="O411" s="27"/>
      <c r="P411" s="27"/>
      <c r="Q411" s="27"/>
      <c r="R411" s="27"/>
      <c r="S411" s="27"/>
      <c r="T411" s="27"/>
      <c r="U411" s="27"/>
      <c r="V411" s="27"/>
      <c r="W411" s="27"/>
      <c r="X411" s="27"/>
    </row>
    <row r="412" spans="1:24" x14ac:dyDescent="0.2">
      <c r="A412" s="27"/>
      <c r="B412" s="27"/>
      <c r="C412" s="27"/>
      <c r="D412" s="27"/>
      <c r="E412" s="27"/>
      <c r="F412" s="27"/>
      <c r="G412" s="27"/>
      <c r="H412" s="27"/>
      <c r="I412" s="27"/>
      <c r="J412" s="27"/>
      <c r="K412" s="27"/>
      <c r="L412" s="27"/>
      <c r="M412" s="27"/>
      <c r="N412" s="27"/>
      <c r="O412" s="27"/>
      <c r="P412" s="27"/>
      <c r="Q412" s="27"/>
      <c r="R412" s="27"/>
      <c r="S412" s="27"/>
      <c r="T412" s="27"/>
      <c r="U412" s="27"/>
      <c r="V412" s="27"/>
      <c r="W412" s="27"/>
      <c r="X412" s="27"/>
    </row>
    <row r="413" spans="1:24" x14ac:dyDescent="0.2">
      <c r="A413" s="27"/>
      <c r="B413" s="27"/>
      <c r="C413" s="27"/>
      <c r="D413" s="27"/>
      <c r="E413" s="27"/>
      <c r="F413" s="27"/>
      <c r="G413" s="27"/>
      <c r="H413" s="27"/>
      <c r="I413" s="27"/>
      <c r="J413" s="27"/>
      <c r="K413" s="27"/>
      <c r="L413" s="27"/>
      <c r="M413" s="27"/>
      <c r="N413" s="27"/>
      <c r="O413" s="27"/>
      <c r="P413" s="27"/>
      <c r="Q413" s="27"/>
      <c r="R413" s="27"/>
      <c r="S413" s="27"/>
      <c r="T413" s="27"/>
      <c r="U413" s="27"/>
      <c r="V413" s="27"/>
      <c r="W413" s="27"/>
      <c r="X413" s="27"/>
    </row>
    <row r="414" spans="1:24" x14ac:dyDescent="0.2">
      <c r="A414" s="27"/>
      <c r="B414" s="27"/>
      <c r="C414" s="27"/>
      <c r="D414" s="27"/>
      <c r="E414" s="27"/>
      <c r="F414" s="27"/>
      <c r="G414" s="27"/>
      <c r="H414" s="27"/>
      <c r="I414" s="27"/>
      <c r="J414" s="27"/>
      <c r="K414" s="27"/>
      <c r="L414" s="27"/>
      <c r="M414" s="27"/>
      <c r="N414" s="27"/>
      <c r="O414" s="27"/>
      <c r="P414" s="27"/>
      <c r="Q414" s="27"/>
      <c r="R414" s="27"/>
      <c r="S414" s="27"/>
      <c r="T414" s="27"/>
      <c r="U414" s="27"/>
      <c r="V414" s="27"/>
      <c r="W414" s="27"/>
      <c r="X414" s="27"/>
    </row>
    <row r="415" spans="1:24" x14ac:dyDescent="0.2">
      <c r="A415" s="27"/>
      <c r="B415" s="27"/>
      <c r="C415" s="27"/>
      <c r="D415" s="27"/>
      <c r="E415" s="27"/>
      <c r="F415" s="27"/>
      <c r="G415" s="27"/>
      <c r="H415" s="27"/>
      <c r="I415" s="27"/>
      <c r="J415" s="27"/>
      <c r="K415" s="27"/>
      <c r="L415" s="27"/>
      <c r="M415" s="27"/>
      <c r="N415" s="27"/>
      <c r="O415" s="27"/>
      <c r="P415" s="27"/>
      <c r="Q415" s="27"/>
      <c r="R415" s="27"/>
      <c r="S415" s="27"/>
      <c r="T415" s="27"/>
      <c r="U415" s="27"/>
      <c r="V415" s="27"/>
      <c r="W415" s="27"/>
      <c r="X415" s="27"/>
    </row>
    <row r="416" spans="1:24" x14ac:dyDescent="0.2">
      <c r="A416" s="27"/>
      <c r="B416" s="27"/>
      <c r="C416" s="27"/>
      <c r="D416" s="27"/>
      <c r="E416" s="27"/>
      <c r="F416" s="27"/>
      <c r="G416" s="27"/>
      <c r="H416" s="27"/>
      <c r="I416" s="27"/>
      <c r="J416" s="27"/>
      <c r="K416" s="27"/>
      <c r="L416" s="27"/>
      <c r="M416" s="27"/>
      <c r="N416" s="27"/>
      <c r="O416" s="27"/>
      <c r="P416" s="27"/>
      <c r="Q416" s="27"/>
      <c r="R416" s="27"/>
      <c r="S416" s="27"/>
      <c r="T416" s="27"/>
      <c r="U416" s="27"/>
      <c r="V416" s="27"/>
      <c r="W416" s="27"/>
      <c r="X416" s="27"/>
    </row>
    <row r="417" spans="1:24" x14ac:dyDescent="0.2">
      <c r="A417" s="27"/>
      <c r="B417" s="27"/>
      <c r="C417" s="27"/>
      <c r="D417" s="27"/>
      <c r="E417" s="27"/>
      <c r="F417" s="27"/>
      <c r="G417" s="27"/>
      <c r="H417" s="27"/>
      <c r="I417" s="27"/>
      <c r="J417" s="27"/>
      <c r="K417" s="27"/>
      <c r="L417" s="27"/>
      <c r="M417" s="27"/>
      <c r="N417" s="27"/>
      <c r="O417" s="27"/>
      <c r="P417" s="27"/>
      <c r="Q417" s="27"/>
      <c r="R417" s="27"/>
      <c r="S417" s="27"/>
      <c r="T417" s="27"/>
      <c r="U417" s="27"/>
      <c r="V417" s="27"/>
      <c r="W417" s="27"/>
      <c r="X417" s="27"/>
    </row>
    <row r="418" spans="1:24" x14ac:dyDescent="0.2">
      <c r="A418" s="27"/>
      <c r="B418" s="27"/>
      <c r="C418" s="27"/>
      <c r="D418" s="27"/>
      <c r="E418" s="27"/>
      <c r="F418" s="27"/>
      <c r="G418" s="27"/>
      <c r="H418" s="27"/>
      <c r="I418" s="27"/>
      <c r="J418" s="27"/>
      <c r="K418" s="27"/>
      <c r="L418" s="27"/>
      <c r="M418" s="27"/>
      <c r="N418" s="27"/>
      <c r="O418" s="27"/>
      <c r="P418" s="27"/>
      <c r="Q418" s="27"/>
      <c r="R418" s="27"/>
      <c r="S418" s="27"/>
      <c r="T418" s="27"/>
      <c r="U418" s="27"/>
      <c r="V418" s="27"/>
      <c r="W418" s="27"/>
      <c r="X418" s="27"/>
    </row>
    <row r="419" spans="1:24" x14ac:dyDescent="0.2">
      <c r="A419" s="27"/>
      <c r="B419" s="27"/>
      <c r="C419" s="27"/>
      <c r="D419" s="27"/>
      <c r="E419" s="27"/>
      <c r="F419" s="27"/>
      <c r="G419" s="27"/>
      <c r="H419" s="27"/>
      <c r="I419" s="27"/>
      <c r="J419" s="27"/>
      <c r="K419" s="27"/>
      <c r="L419" s="27"/>
      <c r="M419" s="27"/>
      <c r="N419" s="27"/>
      <c r="O419" s="27"/>
      <c r="P419" s="27"/>
      <c r="Q419" s="27"/>
      <c r="R419" s="27"/>
      <c r="S419" s="27"/>
      <c r="T419" s="27"/>
      <c r="U419" s="27"/>
      <c r="V419" s="27"/>
      <c r="W419" s="27"/>
      <c r="X419" s="27"/>
    </row>
    <row r="420" spans="1:24" x14ac:dyDescent="0.2">
      <c r="A420" s="27"/>
      <c r="B420" s="27"/>
      <c r="C420" s="27"/>
      <c r="D420" s="27"/>
      <c r="E420" s="27"/>
      <c r="F420" s="27"/>
      <c r="G420" s="27"/>
      <c r="H420" s="27"/>
      <c r="I420" s="27"/>
      <c r="J420" s="27"/>
      <c r="K420" s="27"/>
      <c r="L420" s="27"/>
      <c r="M420" s="27"/>
      <c r="N420" s="27"/>
      <c r="O420" s="27"/>
      <c r="P420" s="27"/>
      <c r="Q420" s="27"/>
      <c r="R420" s="27"/>
      <c r="S420" s="27"/>
      <c r="T420" s="27"/>
      <c r="U420" s="27"/>
      <c r="V420" s="27"/>
      <c r="W420" s="27"/>
      <c r="X420" s="27"/>
    </row>
    <row r="421" spans="1:24" x14ac:dyDescent="0.2">
      <c r="A421" s="27"/>
      <c r="B421" s="27"/>
      <c r="C421" s="27"/>
      <c r="D421" s="27"/>
      <c r="E421" s="27"/>
      <c r="F421" s="27"/>
      <c r="G421" s="27"/>
      <c r="H421" s="27"/>
      <c r="I421" s="27"/>
      <c r="J421" s="27"/>
      <c r="K421" s="27"/>
      <c r="L421" s="27"/>
      <c r="M421" s="27"/>
      <c r="N421" s="27"/>
      <c r="O421" s="27"/>
      <c r="P421" s="27"/>
      <c r="Q421" s="27"/>
      <c r="R421" s="27"/>
      <c r="S421" s="27"/>
      <c r="T421" s="27"/>
      <c r="U421" s="27"/>
      <c r="V421" s="27"/>
      <c r="W421" s="27"/>
      <c r="X421" s="27"/>
    </row>
    <row r="422" spans="1:24" x14ac:dyDescent="0.2">
      <c r="A422" s="27"/>
      <c r="B422" s="27"/>
      <c r="C422" s="27"/>
      <c r="D422" s="27"/>
      <c r="E422" s="27"/>
      <c r="F422" s="27"/>
      <c r="G422" s="27"/>
      <c r="H422" s="27"/>
      <c r="I422" s="27"/>
      <c r="J422" s="27"/>
      <c r="K422" s="27"/>
      <c r="L422" s="27"/>
      <c r="M422" s="27"/>
      <c r="N422" s="27"/>
      <c r="O422" s="27"/>
      <c r="P422" s="27"/>
      <c r="Q422" s="27"/>
      <c r="R422" s="27"/>
      <c r="S422" s="27"/>
      <c r="T422" s="27"/>
      <c r="U422" s="27"/>
      <c r="V422" s="27"/>
      <c r="W422" s="27"/>
      <c r="X422" s="27"/>
    </row>
    <row r="423" spans="1:24" x14ac:dyDescent="0.2">
      <c r="A423" s="27"/>
      <c r="B423" s="27"/>
      <c r="C423" s="27"/>
      <c r="D423" s="27"/>
      <c r="E423" s="27"/>
      <c r="F423" s="27"/>
      <c r="G423" s="27"/>
      <c r="H423" s="27"/>
      <c r="I423" s="27"/>
      <c r="J423" s="27"/>
      <c r="K423" s="27"/>
      <c r="L423" s="27"/>
      <c r="M423" s="27"/>
      <c r="N423" s="27"/>
      <c r="O423" s="27"/>
      <c r="P423" s="27"/>
      <c r="Q423" s="27"/>
      <c r="R423" s="27"/>
      <c r="S423" s="27"/>
      <c r="T423" s="27"/>
      <c r="U423" s="27"/>
      <c r="V423" s="27"/>
      <c r="W423" s="27"/>
      <c r="X423" s="27"/>
    </row>
    <row r="424" spans="1:24" x14ac:dyDescent="0.2">
      <c r="A424" s="27"/>
      <c r="B424" s="27"/>
      <c r="C424" s="27"/>
      <c r="D424" s="27"/>
      <c r="E424" s="27"/>
      <c r="F424" s="27"/>
      <c r="G424" s="27"/>
      <c r="H424" s="27"/>
      <c r="I424" s="27"/>
      <c r="J424" s="27"/>
      <c r="K424" s="27"/>
      <c r="L424" s="27"/>
      <c r="M424" s="27"/>
      <c r="N424" s="27"/>
      <c r="O424" s="27"/>
      <c r="P424" s="27"/>
      <c r="Q424" s="27"/>
      <c r="R424" s="27"/>
      <c r="S424" s="27"/>
      <c r="T424" s="27"/>
      <c r="U424" s="27"/>
      <c r="V424" s="27"/>
      <c r="W424" s="27"/>
      <c r="X424" s="27"/>
    </row>
    <row r="425" spans="1:24" x14ac:dyDescent="0.2">
      <c r="A425" s="27"/>
      <c r="B425" s="27"/>
      <c r="C425" s="27"/>
      <c r="D425" s="27"/>
      <c r="E425" s="27"/>
      <c r="F425" s="27"/>
      <c r="G425" s="27"/>
      <c r="H425" s="27"/>
      <c r="I425" s="27"/>
      <c r="J425" s="27"/>
      <c r="K425" s="27"/>
      <c r="L425" s="27"/>
      <c r="M425" s="27"/>
      <c r="N425" s="27"/>
      <c r="O425" s="27"/>
      <c r="P425" s="27"/>
      <c r="Q425" s="27"/>
      <c r="R425" s="27"/>
      <c r="S425" s="27"/>
      <c r="T425" s="27"/>
      <c r="U425" s="27"/>
      <c r="V425" s="27"/>
      <c r="W425" s="27"/>
      <c r="X425" s="27"/>
    </row>
    <row r="426" spans="1:24" x14ac:dyDescent="0.2">
      <c r="A426" s="27"/>
      <c r="B426" s="27"/>
      <c r="C426" s="27"/>
      <c r="D426" s="27"/>
      <c r="E426" s="27"/>
      <c r="F426" s="27"/>
      <c r="G426" s="27"/>
      <c r="H426" s="27"/>
      <c r="I426" s="27"/>
      <c r="J426" s="27"/>
      <c r="K426" s="27"/>
      <c r="L426" s="27"/>
      <c r="M426" s="27"/>
      <c r="N426" s="27"/>
      <c r="O426" s="27"/>
      <c r="P426" s="27"/>
      <c r="Q426" s="27"/>
      <c r="R426" s="27"/>
      <c r="S426" s="27"/>
      <c r="T426" s="27"/>
      <c r="U426" s="27"/>
      <c r="V426" s="27"/>
      <c r="W426" s="27"/>
      <c r="X426" s="27"/>
    </row>
    <row r="427" spans="1:24" x14ac:dyDescent="0.2">
      <c r="A427" s="27"/>
      <c r="B427" s="27"/>
      <c r="C427" s="27"/>
      <c r="D427" s="27"/>
      <c r="E427" s="27"/>
      <c r="F427" s="27"/>
      <c r="G427" s="27"/>
      <c r="H427" s="27"/>
      <c r="I427" s="27"/>
      <c r="J427" s="27"/>
      <c r="K427" s="27"/>
      <c r="L427" s="27"/>
      <c r="M427" s="27"/>
      <c r="N427" s="27"/>
      <c r="O427" s="27"/>
      <c r="P427" s="27"/>
      <c r="Q427" s="27"/>
      <c r="R427" s="27"/>
      <c r="S427" s="27"/>
      <c r="T427" s="27"/>
      <c r="U427" s="27"/>
      <c r="V427" s="27"/>
      <c r="W427" s="27"/>
      <c r="X427" s="27"/>
    </row>
    <row r="428" spans="1:24" x14ac:dyDescent="0.2">
      <c r="A428" s="27"/>
      <c r="B428" s="27"/>
      <c r="C428" s="27"/>
      <c r="D428" s="27"/>
      <c r="E428" s="27"/>
      <c r="F428" s="27"/>
      <c r="G428" s="27"/>
      <c r="H428" s="27"/>
      <c r="I428" s="27"/>
      <c r="J428" s="27"/>
      <c r="K428" s="27"/>
      <c r="L428" s="27"/>
      <c r="M428" s="27"/>
      <c r="N428" s="27"/>
      <c r="O428" s="27"/>
      <c r="P428" s="27"/>
      <c r="Q428" s="27"/>
      <c r="R428" s="27"/>
      <c r="S428" s="27"/>
      <c r="T428" s="27"/>
      <c r="U428" s="27"/>
      <c r="V428" s="27"/>
      <c r="W428" s="27"/>
      <c r="X428" s="27"/>
    </row>
    <row r="429" spans="1:24" x14ac:dyDescent="0.2">
      <c r="A429" s="27"/>
      <c r="B429" s="27"/>
      <c r="C429" s="27"/>
      <c r="D429" s="27"/>
      <c r="E429" s="27"/>
      <c r="F429" s="27"/>
      <c r="G429" s="27"/>
      <c r="H429" s="27"/>
      <c r="I429" s="27"/>
      <c r="J429" s="27"/>
      <c r="K429" s="27"/>
      <c r="L429" s="27"/>
      <c r="M429" s="27"/>
      <c r="N429" s="27"/>
      <c r="O429" s="27"/>
      <c r="P429" s="27"/>
      <c r="Q429" s="27"/>
      <c r="R429" s="27"/>
      <c r="S429" s="27"/>
      <c r="T429" s="27"/>
      <c r="U429" s="27"/>
      <c r="V429" s="27"/>
      <c r="W429" s="27"/>
      <c r="X429" s="27"/>
    </row>
    <row r="430" spans="1:24" x14ac:dyDescent="0.2">
      <c r="A430" s="27"/>
      <c r="B430" s="27"/>
      <c r="C430" s="27"/>
      <c r="D430" s="27"/>
      <c r="E430" s="27"/>
      <c r="F430" s="27"/>
      <c r="G430" s="27"/>
      <c r="H430" s="27"/>
      <c r="I430" s="27"/>
      <c r="J430" s="27"/>
      <c r="K430" s="27"/>
      <c r="L430" s="27"/>
      <c r="M430" s="27"/>
      <c r="N430" s="27"/>
      <c r="O430" s="27"/>
      <c r="P430" s="27"/>
      <c r="Q430" s="27"/>
      <c r="R430" s="27"/>
      <c r="S430" s="27"/>
      <c r="T430" s="27"/>
      <c r="U430" s="27"/>
      <c r="V430" s="27"/>
      <c r="W430" s="27"/>
      <c r="X430" s="27"/>
    </row>
    <row r="431" spans="1:24" x14ac:dyDescent="0.2">
      <c r="A431" s="27"/>
      <c r="B431" s="27"/>
      <c r="C431" s="27"/>
      <c r="D431" s="27"/>
      <c r="E431" s="27"/>
      <c r="F431" s="27"/>
      <c r="G431" s="27"/>
      <c r="H431" s="27"/>
      <c r="I431" s="27"/>
      <c r="J431" s="27"/>
      <c r="K431" s="27"/>
      <c r="L431" s="27"/>
      <c r="M431" s="27"/>
      <c r="N431" s="27"/>
      <c r="O431" s="27"/>
      <c r="P431" s="27"/>
      <c r="Q431" s="27"/>
      <c r="R431" s="27"/>
      <c r="S431" s="27"/>
      <c r="T431" s="27"/>
      <c r="U431" s="27"/>
      <c r="V431" s="27"/>
      <c r="W431" s="27"/>
      <c r="X431" s="27"/>
    </row>
    <row r="432" spans="1:24" x14ac:dyDescent="0.2">
      <c r="A432" s="27"/>
      <c r="B432" s="27"/>
      <c r="C432" s="27"/>
      <c r="D432" s="27"/>
      <c r="E432" s="27"/>
      <c r="F432" s="27"/>
      <c r="G432" s="27"/>
      <c r="H432" s="27"/>
      <c r="I432" s="27"/>
      <c r="J432" s="27"/>
      <c r="K432" s="27"/>
      <c r="L432" s="27"/>
      <c r="M432" s="27"/>
      <c r="N432" s="27"/>
      <c r="O432" s="27"/>
      <c r="P432" s="27"/>
      <c r="Q432" s="27"/>
      <c r="R432" s="27"/>
      <c r="S432" s="27"/>
      <c r="T432" s="27"/>
      <c r="U432" s="27"/>
      <c r="V432" s="27"/>
      <c r="W432" s="27"/>
      <c r="X432" s="27"/>
    </row>
    <row r="433" spans="1:24" x14ac:dyDescent="0.2">
      <c r="A433" s="27"/>
      <c r="B433" s="27"/>
      <c r="C433" s="27"/>
      <c r="D433" s="27"/>
      <c r="E433" s="27"/>
      <c r="F433" s="27"/>
      <c r="G433" s="27"/>
      <c r="H433" s="27"/>
      <c r="I433" s="27"/>
      <c r="J433" s="27"/>
      <c r="K433" s="27"/>
      <c r="L433" s="27"/>
      <c r="M433" s="27"/>
      <c r="N433" s="27"/>
      <c r="O433" s="27"/>
      <c r="P433" s="27"/>
      <c r="Q433" s="27"/>
      <c r="R433" s="27"/>
      <c r="S433" s="27"/>
      <c r="T433" s="27"/>
      <c r="U433" s="27"/>
      <c r="V433" s="27"/>
      <c r="W433" s="27"/>
      <c r="X433" s="27"/>
    </row>
    <row r="434" spans="1:24" x14ac:dyDescent="0.2">
      <c r="A434" s="27"/>
      <c r="B434" s="27"/>
      <c r="C434" s="27"/>
      <c r="D434" s="27"/>
      <c r="E434" s="27"/>
      <c r="F434" s="27"/>
      <c r="G434" s="27"/>
      <c r="H434" s="27"/>
      <c r="I434" s="27"/>
      <c r="J434" s="27"/>
      <c r="K434" s="27"/>
      <c r="L434" s="27"/>
      <c r="M434" s="27"/>
      <c r="N434" s="27"/>
      <c r="O434" s="27"/>
      <c r="P434" s="27"/>
      <c r="Q434" s="27"/>
      <c r="R434" s="27"/>
      <c r="S434" s="27"/>
      <c r="T434" s="27"/>
      <c r="U434" s="27"/>
      <c r="V434" s="27"/>
      <c r="W434" s="27"/>
      <c r="X434" s="27"/>
    </row>
    <row r="435" spans="1:24" x14ac:dyDescent="0.2">
      <c r="A435" s="27"/>
      <c r="B435" s="27"/>
      <c r="C435" s="27"/>
      <c r="D435" s="27"/>
      <c r="E435" s="27"/>
      <c r="F435" s="27"/>
      <c r="G435" s="27"/>
      <c r="H435" s="27"/>
      <c r="I435" s="27"/>
      <c r="J435" s="27"/>
      <c r="K435" s="27"/>
      <c r="L435" s="27"/>
      <c r="M435" s="27"/>
      <c r="N435" s="27"/>
      <c r="O435" s="27"/>
      <c r="P435" s="27"/>
      <c r="Q435" s="27"/>
      <c r="R435" s="27"/>
      <c r="S435" s="27"/>
      <c r="T435" s="27"/>
      <c r="U435" s="27"/>
      <c r="V435" s="27"/>
      <c r="W435" s="27"/>
      <c r="X435" s="27"/>
    </row>
    <row r="436" spans="1:24" x14ac:dyDescent="0.2">
      <c r="A436" s="27"/>
      <c r="B436" s="27"/>
      <c r="C436" s="27"/>
      <c r="D436" s="27"/>
      <c r="E436" s="27"/>
      <c r="F436" s="27"/>
      <c r="G436" s="27"/>
      <c r="H436" s="27"/>
      <c r="I436" s="27"/>
      <c r="J436" s="27"/>
      <c r="K436" s="27"/>
      <c r="L436" s="27"/>
      <c r="M436" s="27"/>
      <c r="N436" s="27"/>
      <c r="O436" s="27"/>
      <c r="P436" s="27"/>
      <c r="Q436" s="27"/>
      <c r="R436" s="27"/>
      <c r="S436" s="27"/>
      <c r="T436" s="27"/>
      <c r="U436" s="27"/>
      <c r="V436" s="27"/>
      <c r="W436" s="27"/>
      <c r="X436" s="27"/>
    </row>
    <row r="437" spans="1:24" x14ac:dyDescent="0.2">
      <c r="A437" s="27"/>
      <c r="B437" s="27"/>
      <c r="C437" s="27"/>
      <c r="D437" s="27"/>
      <c r="E437" s="27"/>
      <c r="F437" s="27"/>
      <c r="G437" s="27"/>
      <c r="H437" s="27"/>
      <c r="I437" s="27"/>
      <c r="J437" s="27"/>
      <c r="K437" s="27"/>
      <c r="L437" s="27"/>
      <c r="M437" s="27"/>
      <c r="N437" s="27"/>
      <c r="O437" s="27"/>
      <c r="P437" s="27"/>
      <c r="Q437" s="27"/>
      <c r="R437" s="27"/>
      <c r="S437" s="27"/>
      <c r="T437" s="27"/>
      <c r="U437" s="27"/>
      <c r="V437" s="27"/>
      <c r="W437" s="27"/>
      <c r="X437" s="27"/>
    </row>
    <row r="438" spans="1:24" x14ac:dyDescent="0.2">
      <c r="A438" s="27"/>
      <c r="B438" s="27"/>
      <c r="C438" s="27"/>
      <c r="D438" s="27"/>
      <c r="E438" s="27"/>
      <c r="F438" s="27"/>
      <c r="G438" s="27"/>
      <c r="H438" s="27"/>
      <c r="I438" s="27"/>
      <c r="J438" s="27"/>
      <c r="K438" s="27"/>
      <c r="L438" s="27"/>
      <c r="M438" s="27"/>
      <c r="N438" s="27"/>
      <c r="O438" s="27"/>
      <c r="P438" s="27"/>
      <c r="Q438" s="27"/>
      <c r="R438" s="27"/>
      <c r="S438" s="27"/>
      <c r="T438" s="27"/>
      <c r="U438" s="27"/>
      <c r="V438" s="27"/>
      <c r="W438" s="27"/>
      <c r="X438" s="27"/>
    </row>
    <row r="439" spans="1:24" x14ac:dyDescent="0.2">
      <c r="A439" s="27"/>
      <c r="B439" s="27"/>
      <c r="C439" s="27"/>
      <c r="D439" s="27"/>
      <c r="E439" s="27"/>
      <c r="F439" s="27"/>
      <c r="G439" s="27"/>
      <c r="H439" s="27"/>
      <c r="I439" s="27"/>
      <c r="J439" s="27"/>
      <c r="K439" s="27"/>
      <c r="L439" s="27"/>
      <c r="M439" s="27"/>
      <c r="N439" s="27"/>
      <c r="O439" s="27"/>
      <c r="P439" s="27"/>
      <c r="Q439" s="27"/>
      <c r="R439" s="27"/>
      <c r="S439" s="27"/>
      <c r="T439" s="27"/>
      <c r="U439" s="27"/>
      <c r="V439" s="27"/>
      <c r="W439" s="27"/>
      <c r="X439" s="27"/>
    </row>
    <row r="440" spans="1:24" x14ac:dyDescent="0.2">
      <c r="A440" s="27"/>
      <c r="B440" s="27"/>
      <c r="C440" s="27"/>
      <c r="D440" s="27"/>
      <c r="E440" s="27"/>
      <c r="F440" s="27"/>
      <c r="G440" s="27"/>
      <c r="H440" s="27"/>
      <c r="I440" s="27"/>
      <c r="J440" s="27"/>
      <c r="K440" s="27"/>
      <c r="L440" s="27"/>
      <c r="M440" s="27"/>
      <c r="N440" s="27"/>
      <c r="O440" s="27"/>
      <c r="P440" s="27"/>
      <c r="Q440" s="27"/>
      <c r="R440" s="27"/>
      <c r="S440" s="27"/>
      <c r="T440" s="27"/>
      <c r="U440" s="27"/>
      <c r="V440" s="27"/>
      <c r="W440" s="27"/>
      <c r="X440" s="27"/>
    </row>
    <row r="441" spans="1:24" x14ac:dyDescent="0.2">
      <c r="A441" s="27"/>
      <c r="B441" s="27"/>
      <c r="C441" s="27"/>
      <c r="D441" s="27"/>
      <c r="E441" s="27"/>
      <c r="F441" s="27"/>
      <c r="G441" s="27"/>
      <c r="H441" s="27"/>
      <c r="I441" s="27"/>
      <c r="J441" s="27"/>
      <c r="K441" s="27"/>
      <c r="L441" s="27"/>
      <c r="M441" s="27"/>
      <c r="N441" s="27"/>
      <c r="O441" s="27"/>
      <c r="P441" s="27"/>
      <c r="Q441" s="27"/>
      <c r="R441" s="27"/>
      <c r="S441" s="27"/>
      <c r="T441" s="27"/>
      <c r="U441" s="27"/>
      <c r="V441" s="27"/>
      <c r="W441" s="27"/>
      <c r="X441" s="27"/>
    </row>
    <row r="442" spans="1:24" x14ac:dyDescent="0.2">
      <c r="A442" s="27"/>
      <c r="B442" s="27"/>
      <c r="C442" s="27"/>
      <c r="D442" s="27"/>
      <c r="E442" s="27"/>
      <c r="F442" s="27"/>
      <c r="G442" s="27"/>
      <c r="H442" s="27"/>
      <c r="I442" s="27"/>
      <c r="J442" s="27"/>
      <c r="K442" s="27"/>
      <c r="L442" s="27"/>
      <c r="M442" s="27"/>
      <c r="N442" s="27"/>
      <c r="O442" s="27"/>
      <c r="P442" s="27"/>
      <c r="Q442" s="27"/>
      <c r="R442" s="27"/>
      <c r="S442" s="27"/>
      <c r="T442" s="27"/>
      <c r="U442" s="27"/>
      <c r="V442" s="27"/>
      <c r="W442" s="27"/>
      <c r="X442" s="27"/>
    </row>
    <row r="443" spans="1:24" x14ac:dyDescent="0.2">
      <c r="A443" s="27"/>
      <c r="B443" s="27"/>
      <c r="C443" s="27"/>
      <c r="D443" s="27"/>
      <c r="E443" s="27"/>
      <c r="F443" s="27"/>
      <c r="G443" s="27"/>
      <c r="H443" s="27"/>
      <c r="I443" s="27"/>
      <c r="J443" s="27"/>
      <c r="K443" s="27"/>
      <c r="L443" s="27"/>
      <c r="M443" s="27"/>
      <c r="N443" s="27"/>
      <c r="O443" s="27"/>
      <c r="P443" s="27"/>
      <c r="Q443" s="27"/>
      <c r="R443" s="27"/>
      <c r="S443" s="27"/>
      <c r="T443" s="27"/>
      <c r="U443" s="27"/>
      <c r="V443" s="27"/>
      <c r="W443" s="27"/>
      <c r="X443" s="27"/>
    </row>
    <row r="444" spans="1:24" x14ac:dyDescent="0.2">
      <c r="A444" s="27"/>
      <c r="B444" s="27"/>
      <c r="C444" s="27"/>
      <c r="D444" s="27"/>
      <c r="E444" s="27"/>
      <c r="F444" s="27"/>
      <c r="G444" s="27"/>
      <c r="H444" s="27"/>
      <c r="I444" s="27"/>
      <c r="J444" s="27"/>
      <c r="K444" s="27"/>
      <c r="L444" s="27"/>
      <c r="M444" s="27"/>
      <c r="N444" s="27"/>
      <c r="O444" s="27"/>
      <c r="P444" s="27"/>
      <c r="Q444" s="27"/>
      <c r="R444" s="27"/>
      <c r="S444" s="27"/>
      <c r="T444" s="27"/>
      <c r="U444" s="27"/>
      <c r="V444" s="27"/>
      <c r="W444" s="27"/>
      <c r="X444" s="27"/>
    </row>
    <row r="445" spans="1:24" x14ac:dyDescent="0.2">
      <c r="A445" s="27"/>
      <c r="B445" s="27"/>
      <c r="C445" s="27"/>
      <c r="D445" s="27"/>
      <c r="E445" s="27"/>
      <c r="F445" s="27"/>
      <c r="G445" s="27"/>
      <c r="H445" s="27"/>
      <c r="I445" s="27"/>
      <c r="J445" s="27"/>
      <c r="K445" s="27"/>
      <c r="L445" s="27"/>
      <c r="M445" s="27"/>
      <c r="N445" s="27"/>
      <c r="O445" s="27"/>
      <c r="P445" s="27"/>
      <c r="Q445" s="27"/>
      <c r="R445" s="27"/>
      <c r="S445" s="27"/>
      <c r="T445" s="27"/>
      <c r="U445" s="27"/>
      <c r="V445" s="27"/>
      <c r="W445" s="27"/>
      <c r="X445" s="27"/>
    </row>
    <row r="446" spans="1:24" x14ac:dyDescent="0.2">
      <c r="A446" s="27"/>
      <c r="B446" s="27"/>
      <c r="C446" s="27"/>
      <c r="D446" s="27"/>
      <c r="E446" s="27"/>
      <c r="F446" s="27"/>
      <c r="G446" s="27"/>
      <c r="H446" s="27"/>
      <c r="I446" s="27"/>
      <c r="J446" s="27"/>
      <c r="K446" s="27"/>
      <c r="L446" s="27"/>
      <c r="M446" s="27"/>
      <c r="N446" s="27"/>
      <c r="O446" s="27"/>
      <c r="P446" s="27"/>
      <c r="Q446" s="27"/>
      <c r="R446" s="27"/>
      <c r="S446" s="27"/>
      <c r="T446" s="27"/>
      <c r="U446" s="27"/>
      <c r="V446" s="27"/>
      <c r="W446" s="27"/>
      <c r="X446" s="27"/>
    </row>
    <row r="447" spans="1:24" x14ac:dyDescent="0.2">
      <c r="A447" s="27"/>
      <c r="B447" s="27"/>
      <c r="C447" s="27"/>
      <c r="D447" s="27"/>
      <c r="E447" s="27"/>
      <c r="F447" s="27"/>
      <c r="G447" s="27"/>
      <c r="H447" s="27"/>
      <c r="I447" s="27"/>
      <c r="J447" s="27"/>
      <c r="K447" s="27"/>
      <c r="L447" s="27"/>
      <c r="M447" s="27"/>
      <c r="N447" s="27"/>
      <c r="O447" s="27"/>
      <c r="P447" s="27"/>
      <c r="Q447" s="27"/>
      <c r="R447" s="27"/>
      <c r="S447" s="27"/>
      <c r="T447" s="27"/>
      <c r="U447" s="27"/>
      <c r="V447" s="27"/>
      <c r="W447" s="27"/>
      <c r="X447" s="27"/>
    </row>
    <row r="448" spans="1:24" x14ac:dyDescent="0.2">
      <c r="A448" s="27"/>
      <c r="B448" s="27"/>
      <c r="C448" s="27"/>
      <c r="D448" s="27"/>
      <c r="E448" s="27"/>
      <c r="F448" s="27"/>
      <c r="G448" s="27"/>
      <c r="H448" s="27"/>
      <c r="I448" s="27"/>
      <c r="J448" s="27"/>
      <c r="K448" s="27"/>
      <c r="L448" s="27"/>
      <c r="M448" s="27"/>
      <c r="N448" s="27"/>
      <c r="O448" s="27"/>
      <c r="P448" s="27"/>
      <c r="Q448" s="27"/>
      <c r="R448" s="27"/>
      <c r="S448" s="27"/>
      <c r="T448" s="27"/>
      <c r="U448" s="27"/>
      <c r="V448" s="27"/>
      <c r="W448" s="27"/>
      <c r="X448" s="27"/>
    </row>
    <row r="449" spans="1:24" x14ac:dyDescent="0.2">
      <c r="A449" s="27"/>
      <c r="B449" s="27"/>
      <c r="C449" s="27"/>
      <c r="D449" s="27"/>
      <c r="E449" s="27"/>
      <c r="F449" s="27"/>
      <c r="G449" s="27"/>
      <c r="H449" s="27"/>
      <c r="I449" s="27"/>
      <c r="J449" s="27"/>
      <c r="K449" s="27"/>
      <c r="L449" s="27"/>
      <c r="M449" s="27"/>
      <c r="N449" s="27"/>
      <c r="O449" s="27"/>
      <c r="P449" s="27"/>
      <c r="Q449" s="27"/>
      <c r="R449" s="27"/>
      <c r="S449" s="27"/>
      <c r="T449" s="27"/>
      <c r="U449" s="27"/>
      <c r="V449" s="27"/>
      <c r="W449" s="27"/>
      <c r="X449" s="27"/>
    </row>
    <row r="450" spans="1:24" x14ac:dyDescent="0.2">
      <c r="A450" s="27"/>
      <c r="B450" s="27"/>
      <c r="C450" s="27"/>
      <c r="D450" s="27"/>
      <c r="E450" s="27"/>
      <c r="F450" s="27"/>
      <c r="G450" s="27"/>
      <c r="H450" s="27"/>
      <c r="I450" s="27"/>
      <c r="J450" s="27"/>
      <c r="K450" s="27"/>
      <c r="L450" s="27"/>
      <c r="M450" s="27"/>
      <c r="N450" s="27"/>
      <c r="O450" s="27"/>
      <c r="P450" s="27"/>
      <c r="Q450" s="27"/>
      <c r="R450" s="27"/>
      <c r="S450" s="27"/>
      <c r="T450" s="27"/>
      <c r="U450" s="27"/>
      <c r="V450" s="27"/>
      <c r="W450" s="27"/>
      <c r="X450" s="27"/>
    </row>
    <row r="451" spans="1:24" x14ac:dyDescent="0.2">
      <c r="A451" s="27"/>
      <c r="B451" s="27"/>
      <c r="C451" s="27"/>
      <c r="D451" s="27"/>
      <c r="E451" s="27"/>
      <c r="F451" s="27"/>
      <c r="G451" s="27"/>
      <c r="H451" s="27"/>
      <c r="I451" s="27"/>
      <c r="J451" s="27"/>
      <c r="K451" s="27"/>
      <c r="L451" s="27"/>
      <c r="M451" s="27"/>
      <c r="N451" s="27"/>
      <c r="O451" s="27"/>
      <c r="P451" s="27"/>
      <c r="Q451" s="27"/>
      <c r="R451" s="27"/>
      <c r="S451" s="27"/>
      <c r="T451" s="27"/>
      <c r="U451" s="27"/>
      <c r="V451" s="27"/>
      <c r="W451" s="27"/>
      <c r="X451" s="27"/>
    </row>
    <row r="452" spans="1:24" x14ac:dyDescent="0.2">
      <c r="A452" s="27"/>
      <c r="B452" s="27"/>
      <c r="C452" s="27"/>
      <c r="D452" s="27"/>
      <c r="E452" s="27"/>
      <c r="F452" s="27"/>
      <c r="G452" s="27"/>
      <c r="H452" s="27"/>
      <c r="I452" s="27"/>
      <c r="J452" s="27"/>
      <c r="K452" s="27"/>
      <c r="L452" s="27"/>
      <c r="M452" s="27"/>
      <c r="N452" s="27"/>
      <c r="O452" s="27"/>
      <c r="P452" s="27"/>
      <c r="Q452" s="27"/>
      <c r="R452" s="27"/>
      <c r="S452" s="27"/>
      <c r="T452" s="27"/>
      <c r="U452" s="27"/>
      <c r="V452" s="27"/>
      <c r="W452" s="27"/>
      <c r="X452" s="27"/>
    </row>
    <row r="453" spans="1:24" x14ac:dyDescent="0.2">
      <c r="A453" s="27"/>
      <c r="B453" s="27"/>
      <c r="C453" s="27"/>
      <c r="D453" s="27"/>
      <c r="E453" s="27"/>
      <c r="F453" s="27"/>
      <c r="G453" s="27"/>
      <c r="H453" s="27"/>
      <c r="I453" s="27"/>
      <c r="J453" s="27"/>
      <c r="K453" s="27"/>
      <c r="L453" s="27"/>
      <c r="M453" s="27"/>
      <c r="N453" s="27"/>
      <c r="O453" s="27"/>
      <c r="P453" s="27"/>
      <c r="Q453" s="27"/>
      <c r="R453" s="27"/>
      <c r="S453" s="27"/>
      <c r="T453" s="27"/>
      <c r="U453" s="27"/>
      <c r="V453" s="27"/>
      <c r="W453" s="27"/>
      <c r="X453" s="27"/>
    </row>
    <row r="454" spans="1:24" x14ac:dyDescent="0.2">
      <c r="A454" s="27"/>
      <c r="B454" s="27"/>
      <c r="C454" s="27"/>
      <c r="D454" s="27"/>
      <c r="E454" s="27"/>
      <c r="F454" s="27"/>
      <c r="G454" s="27"/>
      <c r="H454" s="27"/>
      <c r="I454" s="27"/>
      <c r="J454" s="27"/>
      <c r="K454" s="27"/>
      <c r="L454" s="27"/>
      <c r="M454" s="27"/>
      <c r="N454" s="27"/>
      <c r="O454" s="27"/>
      <c r="P454" s="27"/>
      <c r="Q454" s="27"/>
      <c r="R454" s="27"/>
      <c r="S454" s="27"/>
      <c r="T454" s="27"/>
      <c r="U454" s="27"/>
      <c r="V454" s="27"/>
      <c r="W454" s="27"/>
      <c r="X454" s="27"/>
    </row>
    <row r="455" spans="1:24" x14ac:dyDescent="0.2">
      <c r="A455" s="27"/>
      <c r="B455" s="27"/>
      <c r="C455" s="27"/>
      <c r="D455" s="27"/>
      <c r="E455" s="27"/>
      <c r="F455" s="27"/>
      <c r="G455" s="27"/>
      <c r="H455" s="27"/>
      <c r="I455" s="27"/>
      <c r="J455" s="27"/>
      <c r="K455" s="27"/>
      <c r="L455" s="27"/>
      <c r="M455" s="27"/>
      <c r="N455" s="27"/>
      <c r="O455" s="27"/>
      <c r="P455" s="27"/>
      <c r="Q455" s="27"/>
      <c r="R455" s="27"/>
      <c r="S455" s="27"/>
      <c r="T455" s="27"/>
      <c r="U455" s="27"/>
      <c r="V455" s="27"/>
      <c r="W455" s="27"/>
      <c r="X455" s="27"/>
    </row>
    <row r="456" spans="1:24" x14ac:dyDescent="0.2">
      <c r="A456" s="27"/>
      <c r="B456" s="27"/>
      <c r="C456" s="27"/>
      <c r="D456" s="27"/>
      <c r="E456" s="27"/>
      <c r="F456" s="27"/>
      <c r="G456" s="27"/>
      <c r="H456" s="27"/>
      <c r="I456" s="27"/>
      <c r="J456" s="27"/>
      <c r="K456" s="27"/>
      <c r="L456" s="27"/>
      <c r="M456" s="27"/>
      <c r="N456" s="27"/>
      <c r="O456" s="27"/>
      <c r="P456" s="27"/>
      <c r="Q456" s="27"/>
      <c r="R456" s="27"/>
      <c r="S456" s="27"/>
      <c r="T456" s="27"/>
      <c r="U456" s="27"/>
      <c r="V456" s="27"/>
      <c r="W456" s="27"/>
      <c r="X456" s="27"/>
    </row>
    <row r="457" spans="1:24" x14ac:dyDescent="0.2">
      <c r="A457" s="27"/>
      <c r="B457" s="27"/>
      <c r="C457" s="27"/>
      <c r="D457" s="27"/>
      <c r="E457" s="27"/>
      <c r="F457" s="27"/>
      <c r="G457" s="27"/>
      <c r="H457" s="27"/>
      <c r="I457" s="27"/>
      <c r="J457" s="27"/>
      <c r="K457" s="27"/>
      <c r="L457" s="27"/>
      <c r="M457" s="27"/>
      <c r="N457" s="27"/>
      <c r="O457" s="27"/>
      <c r="P457" s="27"/>
      <c r="Q457" s="27"/>
      <c r="R457" s="27"/>
      <c r="S457" s="27"/>
      <c r="T457" s="27"/>
      <c r="U457" s="27"/>
      <c r="V457" s="27"/>
      <c r="W457" s="27"/>
      <c r="X457" s="27"/>
    </row>
    <row r="458" spans="1:24" x14ac:dyDescent="0.2">
      <c r="A458" s="27"/>
      <c r="B458" s="27"/>
      <c r="C458" s="27"/>
      <c r="D458" s="27"/>
      <c r="E458" s="27"/>
      <c r="F458" s="27"/>
      <c r="G458" s="27"/>
      <c r="H458" s="27"/>
      <c r="I458" s="27"/>
      <c r="J458" s="27"/>
      <c r="K458" s="27"/>
      <c r="L458" s="27"/>
      <c r="M458" s="27"/>
      <c r="N458" s="27"/>
      <c r="O458" s="27"/>
      <c r="P458" s="27"/>
      <c r="Q458" s="27"/>
      <c r="R458" s="27"/>
      <c r="S458" s="27"/>
      <c r="T458" s="27"/>
      <c r="U458" s="27"/>
      <c r="V458" s="27"/>
      <c r="W458" s="27"/>
      <c r="X458" s="27"/>
    </row>
    <row r="459" spans="1:24" x14ac:dyDescent="0.2">
      <c r="A459" s="27"/>
      <c r="B459" s="27"/>
      <c r="C459" s="27"/>
      <c r="D459" s="27"/>
      <c r="E459" s="27"/>
      <c r="F459" s="27"/>
      <c r="G459" s="27"/>
      <c r="H459" s="27"/>
      <c r="I459" s="27"/>
      <c r="J459" s="27"/>
      <c r="K459" s="27"/>
      <c r="L459" s="27"/>
      <c r="M459" s="27"/>
      <c r="N459" s="27"/>
      <c r="O459" s="27"/>
      <c r="P459" s="27"/>
      <c r="Q459" s="27"/>
      <c r="R459" s="27"/>
      <c r="S459" s="27"/>
      <c r="T459" s="27"/>
      <c r="U459" s="27"/>
      <c r="V459" s="27"/>
      <c r="W459" s="27"/>
      <c r="X459" s="27"/>
    </row>
    <row r="460" spans="1:24" x14ac:dyDescent="0.2">
      <c r="A460" s="27"/>
      <c r="B460" s="27"/>
      <c r="C460" s="27"/>
      <c r="D460" s="27"/>
      <c r="E460" s="27"/>
      <c r="F460" s="27"/>
      <c r="G460" s="27"/>
      <c r="H460" s="27"/>
      <c r="I460" s="27"/>
      <c r="J460" s="27"/>
      <c r="K460" s="27"/>
      <c r="L460" s="27"/>
      <c r="M460" s="27"/>
      <c r="N460" s="27"/>
      <c r="O460" s="27"/>
      <c r="P460" s="27"/>
      <c r="Q460" s="27"/>
      <c r="R460" s="27"/>
      <c r="S460" s="27"/>
      <c r="T460" s="27"/>
      <c r="U460" s="27"/>
      <c r="V460" s="27"/>
      <c r="W460" s="27"/>
      <c r="X460" s="27"/>
    </row>
    <row r="461" spans="1:24" x14ac:dyDescent="0.2">
      <c r="A461" s="27"/>
      <c r="B461" s="27"/>
      <c r="C461" s="27"/>
      <c r="D461" s="27"/>
      <c r="E461" s="27"/>
      <c r="F461" s="27"/>
      <c r="G461" s="27"/>
      <c r="H461" s="27"/>
      <c r="I461" s="27"/>
      <c r="J461" s="27"/>
      <c r="K461" s="27"/>
      <c r="L461" s="27"/>
      <c r="M461" s="27"/>
      <c r="N461" s="27"/>
      <c r="O461" s="27"/>
      <c r="P461" s="27"/>
      <c r="Q461" s="27"/>
      <c r="R461" s="27"/>
      <c r="S461" s="27"/>
      <c r="T461" s="27"/>
      <c r="U461" s="27"/>
      <c r="V461" s="27"/>
      <c r="W461" s="27"/>
      <c r="X461" s="27"/>
    </row>
    <row r="462" spans="1:24" x14ac:dyDescent="0.2">
      <c r="A462" s="27"/>
      <c r="B462" s="27"/>
      <c r="C462" s="27"/>
      <c r="D462" s="27"/>
      <c r="E462" s="27"/>
      <c r="F462" s="27"/>
      <c r="G462" s="27"/>
      <c r="H462" s="27"/>
      <c r="I462" s="27"/>
      <c r="J462" s="27"/>
      <c r="K462" s="27"/>
      <c r="L462" s="27"/>
      <c r="M462" s="27"/>
      <c r="N462" s="27"/>
      <c r="O462" s="27"/>
      <c r="P462" s="27"/>
      <c r="Q462" s="27"/>
      <c r="R462" s="27"/>
      <c r="S462" s="27"/>
      <c r="T462" s="27"/>
      <c r="U462" s="27"/>
      <c r="V462" s="27"/>
      <c r="W462" s="27"/>
      <c r="X462" s="27"/>
    </row>
    <row r="463" spans="1:24" x14ac:dyDescent="0.2">
      <c r="A463" s="27"/>
      <c r="B463" s="27"/>
      <c r="C463" s="27"/>
      <c r="D463" s="27"/>
      <c r="E463" s="27"/>
      <c r="F463" s="27"/>
      <c r="G463" s="27"/>
      <c r="H463" s="27"/>
      <c r="I463" s="27"/>
      <c r="J463" s="27"/>
      <c r="K463" s="27"/>
      <c r="L463" s="27"/>
      <c r="M463" s="27"/>
      <c r="N463" s="27"/>
      <c r="O463" s="27"/>
      <c r="P463" s="27"/>
      <c r="Q463" s="27"/>
      <c r="R463" s="27"/>
      <c r="S463" s="27"/>
      <c r="T463" s="27"/>
      <c r="U463" s="27"/>
      <c r="V463" s="27"/>
      <c r="W463" s="27"/>
      <c r="X463" s="27"/>
    </row>
    <row r="464" spans="1:24" x14ac:dyDescent="0.2">
      <c r="A464" s="27"/>
      <c r="B464" s="27"/>
      <c r="C464" s="27"/>
      <c r="D464" s="27"/>
      <c r="E464" s="27"/>
      <c r="F464" s="27"/>
      <c r="G464" s="27"/>
      <c r="H464" s="27"/>
      <c r="I464" s="27"/>
      <c r="J464" s="27"/>
      <c r="K464" s="27"/>
      <c r="L464" s="27"/>
      <c r="M464" s="27"/>
      <c r="N464" s="27"/>
      <c r="O464" s="27"/>
      <c r="P464" s="27"/>
      <c r="Q464" s="27"/>
      <c r="R464" s="27"/>
      <c r="S464" s="27"/>
      <c r="T464" s="27"/>
      <c r="U464" s="27"/>
      <c r="V464" s="27"/>
      <c r="W464" s="27"/>
      <c r="X464" s="27"/>
    </row>
    <row r="465" spans="1:24" x14ac:dyDescent="0.2">
      <c r="A465" s="27"/>
      <c r="B465" s="27"/>
      <c r="C465" s="27"/>
      <c r="D465" s="27"/>
      <c r="E465" s="27"/>
      <c r="F465" s="27"/>
      <c r="G465" s="27"/>
      <c r="H465" s="27"/>
      <c r="I465" s="27"/>
      <c r="J465" s="27"/>
      <c r="K465" s="27"/>
      <c r="L465" s="27"/>
      <c r="M465" s="27"/>
      <c r="N465" s="27"/>
      <c r="O465" s="27"/>
      <c r="P465" s="27"/>
      <c r="Q465" s="27"/>
      <c r="R465" s="27"/>
      <c r="S465" s="27"/>
      <c r="T465" s="27"/>
      <c r="U465" s="27"/>
      <c r="V465" s="27"/>
      <c r="W465" s="27"/>
      <c r="X465" s="27"/>
    </row>
    <row r="466" spans="1:24" x14ac:dyDescent="0.2">
      <c r="A466" s="27"/>
      <c r="B466" s="27"/>
      <c r="C466" s="27"/>
      <c r="D466" s="27"/>
      <c r="E466" s="27"/>
      <c r="F466" s="27"/>
      <c r="G466" s="27"/>
      <c r="H466" s="27"/>
      <c r="I466" s="27"/>
      <c r="J466" s="27"/>
      <c r="K466" s="27"/>
      <c r="L466" s="27"/>
      <c r="M466" s="27"/>
      <c r="N466" s="27"/>
      <c r="O466" s="27"/>
      <c r="P466" s="27"/>
      <c r="Q466" s="27"/>
      <c r="R466" s="27"/>
      <c r="S466" s="27"/>
      <c r="T466" s="27"/>
      <c r="U466" s="27"/>
      <c r="V466" s="27"/>
      <c r="W466" s="27"/>
      <c r="X466" s="27"/>
    </row>
    <row r="467" spans="1:24" x14ac:dyDescent="0.2">
      <c r="A467" s="27"/>
      <c r="B467" s="27"/>
      <c r="C467" s="27"/>
      <c r="D467" s="27"/>
      <c r="E467" s="27"/>
      <c r="F467" s="27"/>
      <c r="G467" s="27"/>
      <c r="H467" s="27"/>
      <c r="I467" s="27"/>
      <c r="J467" s="27"/>
      <c r="K467" s="27"/>
      <c r="L467" s="27"/>
      <c r="M467" s="27"/>
      <c r="N467" s="27"/>
      <c r="O467" s="27"/>
      <c r="P467" s="27"/>
      <c r="Q467" s="27"/>
      <c r="R467" s="27"/>
      <c r="S467" s="27"/>
      <c r="T467" s="27"/>
      <c r="U467" s="27"/>
      <c r="V467" s="27"/>
      <c r="W467" s="27"/>
      <c r="X467" s="27"/>
    </row>
    <row r="468" spans="1:24" x14ac:dyDescent="0.2">
      <c r="A468" s="27"/>
      <c r="B468" s="27"/>
      <c r="C468" s="27"/>
      <c r="D468" s="27"/>
      <c r="E468" s="27"/>
      <c r="F468" s="27"/>
      <c r="G468" s="27"/>
      <c r="H468" s="27"/>
      <c r="I468" s="27"/>
      <c r="J468" s="27"/>
      <c r="K468" s="27"/>
      <c r="L468" s="27"/>
      <c r="M468" s="27"/>
      <c r="N468" s="27"/>
      <c r="O468" s="27"/>
      <c r="P468" s="27"/>
      <c r="Q468" s="27"/>
      <c r="R468" s="27"/>
      <c r="S468" s="27"/>
      <c r="T468" s="27"/>
      <c r="U468" s="27"/>
      <c r="V468" s="27"/>
      <c r="W468" s="27"/>
      <c r="X468" s="27"/>
    </row>
    <row r="469" spans="1:24" x14ac:dyDescent="0.2">
      <c r="A469" s="27"/>
      <c r="B469" s="27"/>
      <c r="C469" s="27"/>
      <c r="D469" s="27"/>
      <c r="E469" s="27"/>
      <c r="F469" s="27"/>
      <c r="G469" s="27"/>
      <c r="H469" s="27"/>
      <c r="I469" s="27"/>
      <c r="J469" s="27"/>
      <c r="K469" s="27"/>
      <c r="L469" s="27"/>
      <c r="M469" s="27"/>
      <c r="N469" s="27"/>
      <c r="O469" s="27"/>
      <c r="P469" s="27"/>
      <c r="Q469" s="27"/>
      <c r="R469" s="27"/>
      <c r="S469" s="27"/>
      <c r="T469" s="27"/>
      <c r="U469" s="27"/>
      <c r="V469" s="27"/>
      <c r="W469" s="27"/>
      <c r="X469" s="27"/>
    </row>
    <row r="470" spans="1:24" x14ac:dyDescent="0.2">
      <c r="A470" s="27"/>
      <c r="B470" s="27"/>
      <c r="C470" s="27"/>
      <c r="D470" s="27"/>
      <c r="E470" s="27"/>
      <c r="F470" s="27"/>
      <c r="G470" s="27"/>
      <c r="H470" s="27"/>
      <c r="I470" s="27"/>
      <c r="J470" s="27"/>
      <c r="K470" s="27"/>
      <c r="L470" s="27"/>
      <c r="M470" s="27"/>
      <c r="N470" s="27"/>
      <c r="O470" s="27"/>
      <c r="P470" s="27"/>
      <c r="Q470" s="27"/>
      <c r="R470" s="27"/>
      <c r="S470" s="27"/>
      <c r="T470" s="27"/>
      <c r="U470" s="27"/>
      <c r="V470" s="27"/>
      <c r="W470" s="27"/>
      <c r="X470" s="27"/>
    </row>
    <row r="471" spans="1:24" x14ac:dyDescent="0.2">
      <c r="A471" s="27"/>
      <c r="B471" s="27"/>
      <c r="C471" s="27"/>
      <c r="D471" s="27"/>
      <c r="E471" s="27"/>
      <c r="F471" s="27"/>
      <c r="G471" s="27"/>
      <c r="H471" s="27"/>
      <c r="I471" s="27"/>
      <c r="J471" s="27"/>
      <c r="K471" s="27"/>
      <c r="L471" s="27"/>
      <c r="M471" s="27"/>
      <c r="N471" s="27"/>
      <c r="O471" s="27"/>
      <c r="P471" s="27"/>
      <c r="Q471" s="27"/>
      <c r="R471" s="27"/>
      <c r="S471" s="27"/>
      <c r="T471" s="27"/>
      <c r="U471" s="27"/>
      <c r="V471" s="27"/>
      <c r="W471" s="27"/>
      <c r="X471" s="27"/>
    </row>
    <row r="472" spans="1:24" x14ac:dyDescent="0.2">
      <c r="A472" s="27"/>
      <c r="B472" s="27"/>
      <c r="C472" s="27"/>
      <c r="D472" s="27"/>
      <c r="E472" s="27"/>
      <c r="F472" s="27"/>
      <c r="G472" s="27"/>
      <c r="H472" s="27"/>
      <c r="I472" s="27"/>
      <c r="J472" s="27"/>
      <c r="K472" s="27"/>
      <c r="L472" s="27"/>
      <c r="M472" s="27"/>
      <c r="N472" s="27"/>
      <c r="O472" s="27"/>
      <c r="P472" s="27"/>
      <c r="Q472" s="27"/>
      <c r="R472" s="27"/>
      <c r="S472" s="27"/>
      <c r="T472" s="27"/>
      <c r="U472" s="27"/>
      <c r="V472" s="27"/>
      <c r="W472" s="27"/>
      <c r="X472" s="27"/>
    </row>
    <row r="473" spans="1:24" x14ac:dyDescent="0.2">
      <c r="A473" s="27"/>
      <c r="B473" s="27"/>
      <c r="C473" s="27"/>
      <c r="D473" s="27"/>
      <c r="E473" s="27"/>
      <c r="F473" s="27"/>
      <c r="G473" s="27"/>
      <c r="H473" s="27"/>
      <c r="I473" s="27"/>
      <c r="J473" s="27"/>
      <c r="K473" s="27"/>
      <c r="L473" s="27"/>
      <c r="M473" s="27"/>
      <c r="N473" s="27"/>
      <c r="O473" s="27"/>
      <c r="P473" s="27"/>
      <c r="Q473" s="27"/>
      <c r="R473" s="27"/>
      <c r="S473" s="27"/>
      <c r="T473" s="27"/>
      <c r="U473" s="27"/>
      <c r="V473" s="27"/>
      <c r="W473" s="27"/>
      <c r="X473" s="27"/>
    </row>
    <row r="474" spans="1:24" x14ac:dyDescent="0.2">
      <c r="A474" s="27"/>
      <c r="B474" s="27"/>
      <c r="C474" s="27"/>
      <c r="D474" s="27"/>
      <c r="E474" s="27"/>
      <c r="F474" s="27"/>
      <c r="G474" s="27"/>
      <c r="H474" s="27"/>
      <c r="I474" s="27"/>
      <c r="J474" s="27"/>
      <c r="K474" s="27"/>
      <c r="L474" s="27"/>
      <c r="M474" s="27"/>
      <c r="N474" s="27"/>
      <c r="O474" s="27"/>
      <c r="P474" s="27"/>
      <c r="Q474" s="27"/>
      <c r="R474" s="27"/>
      <c r="S474" s="27"/>
      <c r="T474" s="27"/>
      <c r="U474" s="27"/>
      <c r="V474" s="27"/>
      <c r="W474" s="27"/>
      <c r="X474" s="27"/>
    </row>
    <row r="475" spans="1:24" x14ac:dyDescent="0.2">
      <c r="A475" s="27"/>
      <c r="B475" s="27"/>
      <c r="C475" s="27"/>
      <c r="D475" s="27"/>
      <c r="E475" s="27"/>
      <c r="F475" s="27"/>
      <c r="G475" s="27"/>
      <c r="H475" s="27"/>
      <c r="I475" s="27"/>
      <c r="J475" s="27"/>
      <c r="K475" s="27"/>
      <c r="L475" s="27"/>
      <c r="M475" s="27"/>
      <c r="N475" s="27"/>
      <c r="O475" s="27"/>
      <c r="P475" s="27"/>
      <c r="Q475" s="27"/>
      <c r="R475" s="27"/>
      <c r="S475" s="27"/>
      <c r="T475" s="27"/>
      <c r="U475" s="27"/>
      <c r="V475" s="27"/>
      <c r="W475" s="27"/>
      <c r="X475" s="27"/>
    </row>
    <row r="476" spans="1:24" x14ac:dyDescent="0.2">
      <c r="A476" s="27"/>
      <c r="B476" s="27"/>
      <c r="C476" s="27"/>
      <c r="D476" s="27"/>
      <c r="E476" s="27"/>
      <c r="F476" s="27"/>
      <c r="G476" s="27"/>
      <c r="H476" s="27"/>
      <c r="I476" s="27"/>
      <c r="J476" s="27"/>
      <c r="K476" s="27"/>
      <c r="L476" s="27"/>
      <c r="M476" s="27"/>
      <c r="N476" s="27"/>
      <c r="O476" s="27"/>
      <c r="P476" s="27"/>
      <c r="Q476" s="27"/>
      <c r="R476" s="27"/>
      <c r="S476" s="27"/>
      <c r="T476" s="27"/>
      <c r="U476" s="27"/>
      <c r="V476" s="27"/>
      <c r="W476" s="27"/>
      <c r="X476" s="27"/>
    </row>
    <row r="477" spans="1:24" x14ac:dyDescent="0.2">
      <c r="A477" s="27"/>
      <c r="B477" s="27"/>
      <c r="C477" s="27"/>
      <c r="D477" s="27"/>
      <c r="E477" s="27"/>
      <c r="F477" s="27"/>
      <c r="G477" s="27"/>
      <c r="H477" s="27"/>
      <c r="I477" s="27"/>
      <c r="J477" s="27"/>
      <c r="K477" s="27"/>
      <c r="L477" s="27"/>
      <c r="M477" s="27"/>
      <c r="N477" s="27"/>
      <c r="O477" s="27"/>
      <c r="P477" s="27"/>
      <c r="Q477" s="27"/>
      <c r="R477" s="27"/>
      <c r="S477" s="27"/>
      <c r="T477" s="27"/>
      <c r="U477" s="27"/>
      <c r="V477" s="27"/>
      <c r="W477" s="27"/>
      <c r="X477" s="27"/>
    </row>
    <row r="478" spans="1:24" x14ac:dyDescent="0.2">
      <c r="A478" s="27"/>
      <c r="B478" s="27"/>
      <c r="C478" s="27"/>
      <c r="D478" s="27"/>
      <c r="E478" s="27"/>
      <c r="F478" s="27"/>
      <c r="G478" s="27"/>
      <c r="H478" s="27"/>
      <c r="I478" s="27"/>
      <c r="J478" s="27"/>
      <c r="K478" s="27"/>
      <c r="L478" s="27"/>
      <c r="M478" s="27"/>
      <c r="N478" s="27"/>
      <c r="O478" s="27"/>
      <c r="P478" s="27"/>
      <c r="Q478" s="27"/>
      <c r="R478" s="27"/>
      <c r="S478" s="27"/>
      <c r="T478" s="27"/>
      <c r="U478" s="27"/>
      <c r="V478" s="27"/>
      <c r="W478" s="27"/>
      <c r="X478" s="27"/>
    </row>
    <row r="479" spans="1:24" x14ac:dyDescent="0.2">
      <c r="A479" s="27"/>
      <c r="B479" s="27"/>
      <c r="C479" s="27"/>
      <c r="D479" s="27"/>
      <c r="E479" s="27"/>
      <c r="F479" s="27"/>
      <c r="G479" s="27"/>
      <c r="H479" s="27"/>
      <c r="I479" s="27"/>
      <c r="J479" s="27"/>
      <c r="K479" s="27"/>
      <c r="L479" s="27"/>
      <c r="M479" s="27"/>
      <c r="N479" s="27"/>
      <c r="O479" s="27"/>
      <c r="P479" s="27"/>
      <c r="Q479" s="27"/>
      <c r="R479" s="27"/>
      <c r="S479" s="27"/>
      <c r="T479" s="27"/>
      <c r="U479" s="27"/>
      <c r="V479" s="27"/>
      <c r="W479" s="27"/>
      <c r="X479" s="27"/>
    </row>
    <row r="480" spans="1:24" x14ac:dyDescent="0.2">
      <c r="A480" s="27"/>
      <c r="B480" s="27"/>
      <c r="C480" s="27"/>
      <c r="D480" s="27"/>
      <c r="E480" s="27"/>
      <c r="F480" s="27"/>
      <c r="G480" s="27"/>
      <c r="H480" s="27"/>
      <c r="I480" s="27"/>
      <c r="J480" s="27"/>
      <c r="K480" s="27"/>
      <c r="L480" s="27"/>
      <c r="M480" s="27"/>
      <c r="N480" s="27"/>
      <c r="O480" s="27"/>
      <c r="P480" s="27"/>
      <c r="Q480" s="27"/>
      <c r="R480" s="27"/>
      <c r="S480" s="27"/>
      <c r="T480" s="27"/>
      <c r="U480" s="27"/>
      <c r="V480" s="27"/>
      <c r="W480" s="27"/>
      <c r="X480" s="27"/>
    </row>
  </sheetData>
  <mergeCells count="523">
    <mergeCell ref="P130:S130"/>
    <mergeCell ref="E136:H136"/>
    <mergeCell ref="P136:S136"/>
    <mergeCell ref="P144:S144"/>
    <mergeCell ref="C147:D155"/>
    <mergeCell ref="W151:Z151"/>
    <mergeCell ref="E152:H152"/>
    <mergeCell ref="P152:S152"/>
    <mergeCell ref="W153:Z153"/>
    <mergeCell ref="U127:V127"/>
    <mergeCell ref="AB127:AC127"/>
    <mergeCell ref="E128:H128"/>
    <mergeCell ref="M128:N128"/>
    <mergeCell ref="P128:S128"/>
    <mergeCell ref="T128:U128"/>
    <mergeCell ref="W128:Z128"/>
    <mergeCell ref="AA128:AB128"/>
    <mergeCell ref="E129:H129"/>
    <mergeCell ref="M129:O129"/>
    <mergeCell ref="T129:V129"/>
    <mergeCell ref="AA129:AC129"/>
    <mergeCell ref="M120:O120"/>
    <mergeCell ref="T120:V120"/>
    <mergeCell ref="AA120:AC120"/>
    <mergeCell ref="P122:S122"/>
    <mergeCell ref="C123:D130"/>
    <mergeCell ref="E123:O123"/>
    <mergeCell ref="P123:V123"/>
    <mergeCell ref="W123:AC123"/>
    <mergeCell ref="E124:H124"/>
    <mergeCell ref="I124:L124"/>
    <mergeCell ref="M124:O124"/>
    <mergeCell ref="P124:S124"/>
    <mergeCell ref="T124:V124"/>
    <mergeCell ref="W124:Z124"/>
    <mergeCell ref="AA124:AC124"/>
    <mergeCell ref="E125:H125"/>
    <mergeCell ref="N125:O125"/>
    <mergeCell ref="U125:V125"/>
    <mergeCell ref="W125:Z125"/>
    <mergeCell ref="AB125:AC125"/>
    <mergeCell ref="N126:O126"/>
    <mergeCell ref="U126:V126"/>
    <mergeCell ref="AB126:AC126"/>
    <mergeCell ref="N127:O127"/>
    <mergeCell ref="C113:D122"/>
    <mergeCell ref="E113:O113"/>
    <mergeCell ref="P113:V113"/>
    <mergeCell ref="W113:AC113"/>
    <mergeCell ref="E114:H114"/>
    <mergeCell ref="I114:L114"/>
    <mergeCell ref="W114:Z114"/>
    <mergeCell ref="E115:H115"/>
    <mergeCell ref="N115:O115"/>
    <mergeCell ref="P115:S115"/>
    <mergeCell ref="U115:V115"/>
    <mergeCell ref="W115:Z115"/>
    <mergeCell ref="AB115:AC115"/>
    <mergeCell ref="N116:O116"/>
    <mergeCell ref="U116:V116"/>
    <mergeCell ref="AB116:AC116"/>
    <mergeCell ref="N117:O117"/>
    <mergeCell ref="U117:V117"/>
    <mergeCell ref="AB117:AC117"/>
    <mergeCell ref="M118:N118"/>
    <mergeCell ref="T118:U118"/>
    <mergeCell ref="AA118:AB118"/>
    <mergeCell ref="M119:O119"/>
    <mergeCell ref="T119:V119"/>
    <mergeCell ref="C100:D112"/>
    <mergeCell ref="E100:O100"/>
    <mergeCell ref="P100:V100"/>
    <mergeCell ref="W100:AC100"/>
    <mergeCell ref="E101:H101"/>
    <mergeCell ref="I101:L101"/>
    <mergeCell ref="M101:O101"/>
    <mergeCell ref="P101:S101"/>
    <mergeCell ref="T101:V101"/>
    <mergeCell ref="W101:Z101"/>
    <mergeCell ref="AA101:AC101"/>
    <mergeCell ref="E102:H102"/>
    <mergeCell ref="N102:O102"/>
    <mergeCell ref="P102:S102"/>
    <mergeCell ref="U102:V102"/>
    <mergeCell ref="AB102:AC102"/>
    <mergeCell ref="N103:O103"/>
    <mergeCell ref="U103:V103"/>
    <mergeCell ref="AB103:AC103"/>
    <mergeCell ref="N104:O104"/>
    <mergeCell ref="U104:V104"/>
    <mergeCell ref="AB104:AC104"/>
    <mergeCell ref="E105:H105"/>
    <mergeCell ref="M105:N105"/>
    <mergeCell ref="E89:H89"/>
    <mergeCell ref="M89:O89"/>
    <mergeCell ref="T89:V89"/>
    <mergeCell ref="AA89:AC89"/>
    <mergeCell ref="C91:D99"/>
    <mergeCell ref="E91:O91"/>
    <mergeCell ref="P91:V91"/>
    <mergeCell ref="W91:AC91"/>
    <mergeCell ref="E92:H92"/>
    <mergeCell ref="I92:L92"/>
    <mergeCell ref="M92:O92"/>
    <mergeCell ref="P92:S92"/>
    <mergeCell ref="T92:V92"/>
    <mergeCell ref="W92:Z92"/>
    <mergeCell ref="AA92:AC92"/>
    <mergeCell ref="E93:H93"/>
    <mergeCell ref="P93:S93"/>
    <mergeCell ref="W93:Z93"/>
    <mergeCell ref="N94:O94"/>
    <mergeCell ref="U94:V94"/>
    <mergeCell ref="AB94:AC94"/>
    <mergeCell ref="N95:O95"/>
    <mergeCell ref="U95:V95"/>
    <mergeCell ref="AB95:AC95"/>
    <mergeCell ref="P71:S71"/>
    <mergeCell ref="C72:D82"/>
    <mergeCell ref="P81:S81"/>
    <mergeCell ref="C83:D90"/>
    <mergeCell ref="E83:O83"/>
    <mergeCell ref="P83:V83"/>
    <mergeCell ref="W83:AC83"/>
    <mergeCell ref="E84:H84"/>
    <mergeCell ref="I84:L84"/>
    <mergeCell ref="M84:O84"/>
    <mergeCell ref="P84:S84"/>
    <mergeCell ref="T84:V84"/>
    <mergeCell ref="W84:Z84"/>
    <mergeCell ref="AA84:AC84"/>
    <mergeCell ref="E85:H85"/>
    <mergeCell ref="P85:S85"/>
    <mergeCell ref="W85:Z85"/>
    <mergeCell ref="N86:O86"/>
    <mergeCell ref="U86:V86"/>
    <mergeCell ref="AB86:AC86"/>
    <mergeCell ref="N87:O87"/>
    <mergeCell ref="U87:V87"/>
    <mergeCell ref="AB87:AC87"/>
    <mergeCell ref="E88:H88"/>
    <mergeCell ref="M69:N69"/>
    <mergeCell ref="P69:S69"/>
    <mergeCell ref="T69:U69"/>
    <mergeCell ref="W69:Z69"/>
    <mergeCell ref="AA69:AB69"/>
    <mergeCell ref="E70:H70"/>
    <mergeCell ref="M70:O70"/>
    <mergeCell ref="T70:V70"/>
    <mergeCell ref="AA70:AC70"/>
    <mergeCell ref="T63:V63"/>
    <mergeCell ref="AA63:AC63"/>
    <mergeCell ref="C64:D71"/>
    <mergeCell ref="E64:O64"/>
    <mergeCell ref="P64:V64"/>
    <mergeCell ref="W64:AC64"/>
    <mergeCell ref="E65:H65"/>
    <mergeCell ref="I65:L65"/>
    <mergeCell ref="M65:O65"/>
    <mergeCell ref="P65:S65"/>
    <mergeCell ref="T65:V65"/>
    <mergeCell ref="AA65:AC65"/>
    <mergeCell ref="E66:H66"/>
    <mergeCell ref="N66:O66"/>
    <mergeCell ref="P66:S66"/>
    <mergeCell ref="U66:V66"/>
    <mergeCell ref="W66:Z66"/>
    <mergeCell ref="AB66:AC66"/>
    <mergeCell ref="N67:O67"/>
    <mergeCell ref="U67:V67"/>
    <mergeCell ref="AB67:AC67"/>
    <mergeCell ref="N68:O68"/>
    <mergeCell ref="U68:V68"/>
    <mergeCell ref="AB68:AC68"/>
    <mergeCell ref="AB59:AC59"/>
    <mergeCell ref="N60:O60"/>
    <mergeCell ref="U60:V60"/>
    <mergeCell ref="AB60:AC60"/>
    <mergeCell ref="M61:N61"/>
    <mergeCell ref="T61:U61"/>
    <mergeCell ref="AA61:AB61"/>
    <mergeCell ref="M62:O62"/>
    <mergeCell ref="T62:V62"/>
    <mergeCell ref="AA62:AC62"/>
    <mergeCell ref="C45:D55"/>
    <mergeCell ref="P50:S50"/>
    <mergeCell ref="M55:O55"/>
    <mergeCell ref="T55:V55"/>
    <mergeCell ref="AA55:AC55"/>
    <mergeCell ref="C56:D63"/>
    <mergeCell ref="E56:O56"/>
    <mergeCell ref="P56:V56"/>
    <mergeCell ref="W56:AC56"/>
    <mergeCell ref="E57:H57"/>
    <mergeCell ref="I57:L57"/>
    <mergeCell ref="M57:O57"/>
    <mergeCell ref="P57:S57"/>
    <mergeCell ref="T57:V57"/>
    <mergeCell ref="W57:Z57"/>
    <mergeCell ref="AA57:AC57"/>
    <mergeCell ref="E58:H58"/>
    <mergeCell ref="N58:O58"/>
    <mergeCell ref="P58:S58"/>
    <mergeCell ref="U58:V58"/>
    <mergeCell ref="W58:Z58"/>
    <mergeCell ref="AB58:AC58"/>
    <mergeCell ref="N59:O59"/>
    <mergeCell ref="U59:V59"/>
    <mergeCell ref="N151:O151"/>
    <mergeCell ref="U151:V151"/>
    <mergeCell ref="AB151:AC151"/>
    <mergeCell ref="M152:N152"/>
    <mergeCell ref="T152:U152"/>
    <mergeCell ref="AA152:AB152"/>
    <mergeCell ref="M154:O154"/>
    <mergeCell ref="T154:V154"/>
    <mergeCell ref="AA154:AC154"/>
    <mergeCell ref="AA153:AC153"/>
    <mergeCell ref="E147:O147"/>
    <mergeCell ref="P147:V147"/>
    <mergeCell ref="W147:AC147"/>
    <mergeCell ref="E148:H148"/>
    <mergeCell ref="I148:L148"/>
    <mergeCell ref="M148:O148"/>
    <mergeCell ref="P148:S148"/>
    <mergeCell ref="T148:V148"/>
    <mergeCell ref="AA148:AC148"/>
    <mergeCell ref="C139:D146"/>
    <mergeCell ref="E139:O139"/>
    <mergeCell ref="P139:V139"/>
    <mergeCell ref="W139:AC139"/>
    <mergeCell ref="E140:H140"/>
    <mergeCell ref="I140:L140"/>
    <mergeCell ref="M140:O140"/>
    <mergeCell ref="P140:S140"/>
    <mergeCell ref="T140:V140"/>
    <mergeCell ref="AA140:AC140"/>
    <mergeCell ref="N143:O143"/>
    <mergeCell ref="U143:V143"/>
    <mergeCell ref="AB143:AC143"/>
    <mergeCell ref="M144:N144"/>
    <mergeCell ref="T144:U144"/>
    <mergeCell ref="W144:Z144"/>
    <mergeCell ref="AA144:AB144"/>
    <mergeCell ref="M146:O146"/>
    <mergeCell ref="T146:V146"/>
    <mergeCell ref="C131:D138"/>
    <mergeCell ref="E131:O131"/>
    <mergeCell ref="P131:V131"/>
    <mergeCell ref="W131:AC131"/>
    <mergeCell ref="E132:H132"/>
    <mergeCell ref="I132:L132"/>
    <mergeCell ref="M132:O132"/>
    <mergeCell ref="P132:S132"/>
    <mergeCell ref="T132:V132"/>
    <mergeCell ref="W132:Z132"/>
    <mergeCell ref="AA132:AC132"/>
    <mergeCell ref="N133:O133"/>
    <mergeCell ref="U133:V133"/>
    <mergeCell ref="AB133:AC133"/>
    <mergeCell ref="N134:O134"/>
    <mergeCell ref="U134:V134"/>
    <mergeCell ref="AB134:AC134"/>
    <mergeCell ref="N135:O135"/>
    <mergeCell ref="U135:V135"/>
    <mergeCell ref="AB135:AC135"/>
    <mergeCell ref="M138:O138"/>
    <mergeCell ref="T138:V138"/>
    <mergeCell ref="AA138:AC138"/>
    <mergeCell ref="M79:O79"/>
    <mergeCell ref="T79:V79"/>
    <mergeCell ref="AA79:AC79"/>
    <mergeCell ref="E82:H82"/>
    <mergeCell ref="M82:O82"/>
    <mergeCell ref="T82:V82"/>
    <mergeCell ref="AA82:AC82"/>
    <mergeCell ref="N85:O85"/>
    <mergeCell ref="U85:V85"/>
    <mergeCell ref="AB85:AC85"/>
    <mergeCell ref="I19:L20"/>
    <mergeCell ref="M19:O20"/>
    <mergeCell ref="P19:V20"/>
    <mergeCell ref="AA50:AB50"/>
    <mergeCell ref="M51:O51"/>
    <mergeCell ref="T51:V51"/>
    <mergeCell ref="AA51:AC51"/>
    <mergeCell ref="M52:O52"/>
    <mergeCell ref="E45:O45"/>
    <mergeCell ref="P45:V45"/>
    <mergeCell ref="W45:AC45"/>
    <mergeCell ref="E46:H46"/>
    <mergeCell ref="I46:L46"/>
    <mergeCell ref="M46:O46"/>
    <mergeCell ref="P46:S46"/>
    <mergeCell ref="T46:V46"/>
    <mergeCell ref="Q44:S44"/>
    <mergeCell ref="T44:U44"/>
    <mergeCell ref="Y6:Z6"/>
    <mergeCell ref="Y7:Z7"/>
    <mergeCell ref="AB6:AC6"/>
    <mergeCell ref="AB7:AC7"/>
    <mergeCell ref="Y9:Z9"/>
    <mergeCell ref="Y10:Z10"/>
    <mergeCell ref="AB9:AC9"/>
    <mergeCell ref="AB10:AC10"/>
    <mergeCell ref="L13:M13"/>
    <mergeCell ref="C4:U6"/>
    <mergeCell ref="C10:V11"/>
    <mergeCell ref="B2:AD2"/>
    <mergeCell ref="T52:V52"/>
    <mergeCell ref="AA52:AC52"/>
    <mergeCell ref="T50:U50"/>
    <mergeCell ref="W50:Z50"/>
    <mergeCell ref="N93:O93"/>
    <mergeCell ref="U93:V93"/>
    <mergeCell ref="M114:O114"/>
    <mergeCell ref="P114:S114"/>
    <mergeCell ref="T114:V114"/>
    <mergeCell ref="AA114:AC114"/>
    <mergeCell ref="X4:AC4"/>
    <mergeCell ref="X12:AC12"/>
    <mergeCell ref="G13:G14"/>
    <mergeCell ref="H13:H14"/>
    <mergeCell ref="I13:I14"/>
    <mergeCell ref="J13:J14"/>
    <mergeCell ref="C13:F14"/>
    <mergeCell ref="C16:H17"/>
    <mergeCell ref="I16:Q17"/>
    <mergeCell ref="X5:Z5"/>
    <mergeCell ref="AA5:AC5"/>
    <mergeCell ref="X8:Z8"/>
    <mergeCell ref="AA8:AC8"/>
    <mergeCell ref="E99:H99"/>
    <mergeCell ref="AB93:AC93"/>
    <mergeCell ref="E145:H145"/>
    <mergeCell ref="P133:S133"/>
    <mergeCell ref="W141:Z141"/>
    <mergeCell ref="E141:H141"/>
    <mergeCell ref="P141:S141"/>
    <mergeCell ref="E133:H133"/>
    <mergeCell ref="P96:S96"/>
    <mergeCell ref="M136:N136"/>
    <mergeCell ref="E118:H118"/>
    <mergeCell ref="W118:Z118"/>
    <mergeCell ref="M130:O130"/>
    <mergeCell ref="T130:V130"/>
    <mergeCell ref="AA130:AC130"/>
    <mergeCell ref="M96:N96"/>
    <mergeCell ref="T96:U96"/>
    <mergeCell ref="W96:Z96"/>
    <mergeCell ref="AA96:AB96"/>
    <mergeCell ref="M97:O97"/>
    <mergeCell ref="T97:V97"/>
    <mergeCell ref="AA97:AC97"/>
    <mergeCell ref="P105:S105"/>
    <mergeCell ref="T105:U105"/>
    <mergeCell ref="M137:O137"/>
    <mergeCell ref="T137:V137"/>
    <mergeCell ref="AA137:AC137"/>
    <mergeCell ref="W140:Z140"/>
    <mergeCell ref="W133:Z133"/>
    <mergeCell ref="T136:U136"/>
    <mergeCell ref="W136:Z136"/>
    <mergeCell ref="AA136:AB136"/>
    <mergeCell ref="M98:O98"/>
    <mergeCell ref="T98:V98"/>
    <mergeCell ref="AA98:AC98"/>
    <mergeCell ref="W102:Z102"/>
    <mergeCell ref="W105:Z105"/>
    <mergeCell ref="AA105:AB105"/>
    <mergeCell ref="M106:O106"/>
    <mergeCell ref="T106:V106"/>
    <mergeCell ref="AA106:AC106"/>
    <mergeCell ref="M107:O107"/>
    <mergeCell ref="T107:V107"/>
    <mergeCell ref="AA107:AC107"/>
    <mergeCell ref="M112:O112"/>
    <mergeCell ref="T112:V112"/>
    <mergeCell ref="AA112:AC112"/>
    <mergeCell ref="AA119:AC119"/>
    <mergeCell ref="M78:O78"/>
    <mergeCell ref="T78:V78"/>
    <mergeCell ref="AA78:AC78"/>
    <mergeCell ref="E73:H73"/>
    <mergeCell ref="P73:S73"/>
    <mergeCell ref="W73:Z73"/>
    <mergeCell ref="N74:O74"/>
    <mergeCell ref="AB74:AC74"/>
    <mergeCell ref="N75:O75"/>
    <mergeCell ref="AB75:AC75"/>
    <mergeCell ref="P74:S74"/>
    <mergeCell ref="W74:Z74"/>
    <mergeCell ref="U74:V74"/>
    <mergeCell ref="U75:V75"/>
    <mergeCell ref="I73:L73"/>
    <mergeCell ref="M73:O73"/>
    <mergeCell ref="T73:V73"/>
    <mergeCell ref="AA73:AC73"/>
    <mergeCell ref="E74:H74"/>
    <mergeCell ref="N76:O76"/>
    <mergeCell ref="U76:V76"/>
    <mergeCell ref="AB76:AC76"/>
    <mergeCell ref="M77:N77"/>
    <mergeCell ref="T77:U77"/>
    <mergeCell ref="M50:N50"/>
    <mergeCell ref="K42:L42"/>
    <mergeCell ref="Q42:S42"/>
    <mergeCell ref="T42:U42"/>
    <mergeCell ref="X42:Z42"/>
    <mergeCell ref="AA42:AB42"/>
    <mergeCell ref="K43:L43"/>
    <mergeCell ref="Q43:S43"/>
    <mergeCell ref="T43:U43"/>
    <mergeCell ref="AB48:AC48"/>
    <mergeCell ref="U49:V49"/>
    <mergeCell ref="AB49:AC49"/>
    <mergeCell ref="E61:H61"/>
    <mergeCell ref="C31:AC31"/>
    <mergeCell ref="W32:AC32"/>
    <mergeCell ref="W33:AC34"/>
    <mergeCell ref="P35:V36"/>
    <mergeCell ref="C40:D40"/>
    <mergeCell ref="E40:O40"/>
    <mergeCell ref="P40:V40"/>
    <mergeCell ref="W40:AC40"/>
    <mergeCell ref="K41:L41"/>
    <mergeCell ref="Q41:S41"/>
    <mergeCell ref="T41:U41"/>
    <mergeCell ref="X41:Z41"/>
    <mergeCell ref="AA41:AB41"/>
    <mergeCell ref="N49:O49"/>
    <mergeCell ref="W46:Z46"/>
    <mergeCell ref="AA46:AC46"/>
    <mergeCell ref="E47:H47"/>
    <mergeCell ref="N47:O47"/>
    <mergeCell ref="P47:S47"/>
    <mergeCell ref="U47:V47"/>
    <mergeCell ref="W47:Z47"/>
    <mergeCell ref="AB47:AC47"/>
    <mergeCell ref="E50:H50"/>
    <mergeCell ref="U3:V3"/>
    <mergeCell ref="U48:V48"/>
    <mergeCell ref="C28:E28"/>
    <mergeCell ref="B12:W12"/>
    <mergeCell ref="C22:V22"/>
    <mergeCell ref="C27:E27"/>
    <mergeCell ref="C26:E26"/>
    <mergeCell ref="C25:E25"/>
    <mergeCell ref="C24:E24"/>
    <mergeCell ref="F24:I24"/>
    <mergeCell ref="F25:I25"/>
    <mergeCell ref="F26:I26"/>
    <mergeCell ref="F27:I27"/>
    <mergeCell ref="C23:E23"/>
    <mergeCell ref="F23:I23"/>
    <mergeCell ref="C29:E29"/>
    <mergeCell ref="F28:I28"/>
    <mergeCell ref="F29:I29"/>
    <mergeCell ref="H32:O32"/>
    <mergeCell ref="P32:V32"/>
    <mergeCell ref="K28:V28"/>
    <mergeCell ref="C41:D44"/>
    <mergeCell ref="N48:O48"/>
    <mergeCell ref="C19:H20"/>
    <mergeCell ref="M71:O71"/>
    <mergeCell ref="T71:V71"/>
    <mergeCell ref="W65:Z65"/>
    <mergeCell ref="AA71:AC71"/>
    <mergeCell ref="E72:O72"/>
    <mergeCell ref="P72:V72"/>
    <mergeCell ref="W72:AC72"/>
    <mergeCell ref="W77:Z77"/>
    <mergeCell ref="AA77:AB77"/>
    <mergeCell ref="M63:O63"/>
    <mergeCell ref="P63:S63"/>
    <mergeCell ref="P90:S90"/>
    <mergeCell ref="P88:S88"/>
    <mergeCell ref="M90:O90"/>
    <mergeCell ref="T90:V90"/>
    <mergeCell ref="AA90:AC90"/>
    <mergeCell ref="M88:N88"/>
    <mergeCell ref="T88:U88"/>
    <mergeCell ref="W88:Z88"/>
    <mergeCell ref="AA88:AB88"/>
    <mergeCell ref="P125:S125"/>
    <mergeCell ref="P154:S154"/>
    <mergeCell ref="E144:H144"/>
    <mergeCell ref="W148:Z148"/>
    <mergeCell ref="N141:O141"/>
    <mergeCell ref="U141:V141"/>
    <mergeCell ref="N142:O142"/>
    <mergeCell ref="U142:V142"/>
    <mergeCell ref="P146:S146"/>
    <mergeCell ref="E149:H149"/>
    <mergeCell ref="P149:S149"/>
    <mergeCell ref="W149:Z149"/>
    <mergeCell ref="M153:O153"/>
    <mergeCell ref="X27:AC27"/>
    <mergeCell ref="X28:Y28"/>
    <mergeCell ref="X29:Y29"/>
    <mergeCell ref="Z28:AA28"/>
    <mergeCell ref="Z29:AA29"/>
    <mergeCell ref="AB28:AC28"/>
    <mergeCell ref="AB29:AC29"/>
    <mergeCell ref="W61:Z61"/>
    <mergeCell ref="AB150:AC150"/>
    <mergeCell ref="AB141:AC141"/>
    <mergeCell ref="AB142:AC142"/>
    <mergeCell ref="W152:Z152"/>
    <mergeCell ref="AA146:AC146"/>
    <mergeCell ref="AB149:AC149"/>
    <mergeCell ref="AA145:AC145"/>
    <mergeCell ref="E41:F41"/>
    <mergeCell ref="E42:F42"/>
    <mergeCell ref="E43:F43"/>
    <mergeCell ref="E44:F44"/>
    <mergeCell ref="T153:V153"/>
    <mergeCell ref="N149:O149"/>
    <mergeCell ref="U149:V149"/>
    <mergeCell ref="N150:O150"/>
    <mergeCell ref="U150:V150"/>
    <mergeCell ref="M145:O145"/>
    <mergeCell ref="T145:V145"/>
  </mergeCells>
  <conditionalFormatting sqref="L188:L192">
    <cfRule type="expression" dxfId="983" priority="429">
      <formula>K188&gt;J188</formula>
    </cfRule>
    <cfRule type="expression" dxfId="982" priority="430">
      <formula>J188&gt;=K188</formula>
    </cfRule>
  </conditionalFormatting>
  <conditionalFormatting sqref="S197">
    <cfRule type="expression" dxfId="951" priority="417">
      <formula>R197&gt;Q197</formula>
    </cfRule>
    <cfRule type="expression" dxfId="950" priority="418">
      <formula>Q197&gt;=R197</formula>
    </cfRule>
  </conditionalFormatting>
  <conditionalFormatting sqref="Z159">
    <cfRule type="expression" dxfId="947" priority="321">
      <formula>Y159&gt;X159</formula>
    </cfRule>
    <cfRule type="expression" dxfId="946" priority="322">
      <formula>X159&gt;=Y159</formula>
    </cfRule>
  </conditionalFormatting>
  <conditionalFormatting sqref="L158:L160 L162">
    <cfRule type="expression" dxfId="945" priority="319">
      <formula>K158&gt;J158</formula>
    </cfRule>
    <cfRule type="expression" dxfId="944" priority="320">
      <formula>J158&gt;=K158</formula>
    </cfRule>
  </conditionalFormatting>
  <conditionalFormatting sqref="Z167">
    <cfRule type="expression" dxfId="943" priority="311">
      <formula>Y167&gt;X167</formula>
    </cfRule>
    <cfRule type="expression" dxfId="942" priority="312">
      <formula>X167&gt;=Y167</formula>
    </cfRule>
  </conditionalFormatting>
  <conditionalFormatting sqref="L166:L172 L175">
    <cfRule type="expression" dxfId="941" priority="313">
      <formula>K166&gt;J166</formula>
    </cfRule>
    <cfRule type="expression" dxfId="940" priority="314">
      <formula>J166&gt;=K166</formula>
    </cfRule>
  </conditionalFormatting>
  <conditionalFormatting sqref="L196:L201">
    <cfRule type="expression" dxfId="939" priority="411">
      <formula>K196&gt;J196</formula>
    </cfRule>
    <cfRule type="expression" dxfId="938" priority="412">
      <formula>J196&gt;=K196</formula>
    </cfRule>
  </conditionalFormatting>
  <conditionalFormatting sqref="L173:L174">
    <cfRule type="expression" dxfId="935" priority="309">
      <formula>K173&gt;J173</formula>
    </cfRule>
    <cfRule type="expression" dxfId="934" priority="310">
      <formula>J173&gt;=K173</formula>
    </cfRule>
  </conditionalFormatting>
  <conditionalFormatting sqref="S180">
    <cfRule type="expression" dxfId="929" priority="297">
      <formula>R180&gt;Q180</formula>
    </cfRule>
    <cfRule type="expression" dxfId="928" priority="298">
      <formula>Q180&gt;=R180</formula>
    </cfRule>
  </conditionalFormatting>
  <conditionalFormatting sqref="Z180">
    <cfRule type="expression" dxfId="927" priority="301">
      <formula>Y180&gt;X180</formula>
    </cfRule>
    <cfRule type="expression" dxfId="926" priority="302">
      <formula>X180&gt;=Y180</formula>
    </cfRule>
  </conditionalFormatting>
  <conditionalFormatting sqref="L179:L184">
    <cfRule type="expression" dxfId="925" priority="303">
      <formula>K179&gt;J179</formula>
    </cfRule>
    <cfRule type="expression" dxfId="924" priority="304">
      <formula>J179&gt;=K179</formula>
    </cfRule>
  </conditionalFormatting>
  <conditionalFormatting sqref="S184">
    <cfRule type="expression" dxfId="923" priority="299">
      <formula>R184&gt;Q184</formula>
    </cfRule>
    <cfRule type="expression" dxfId="922" priority="300">
      <formula>Q184&gt;=R184</formula>
    </cfRule>
  </conditionalFormatting>
  <conditionalFormatting sqref="L161">
    <cfRule type="expression" dxfId="859" priority="315">
      <formula>K161&gt;J161</formula>
    </cfRule>
    <cfRule type="expression" dxfId="858" priority="316">
      <formula>J161&gt;=K161</formula>
    </cfRule>
  </conditionalFormatting>
  <conditionalFormatting sqref="S171">
    <cfRule type="expression" dxfId="855" priority="307">
      <formula>R171&gt;Q171</formula>
    </cfRule>
    <cfRule type="expression" dxfId="854" priority="308">
      <formula>Q171&gt;=R171</formula>
    </cfRule>
  </conditionalFormatting>
  <conditionalFormatting sqref="S159 S161">
    <cfRule type="expression" dxfId="853" priority="317">
      <formula>R159&gt;Q159</formula>
    </cfRule>
    <cfRule type="expression" dxfId="852" priority="318">
      <formula>Q159&gt;=R159</formula>
    </cfRule>
  </conditionalFormatting>
  <conditionalFormatting sqref="S167:S169">
    <cfRule type="expression" dxfId="851" priority="305">
      <formula>R167&gt;Q167</formula>
    </cfRule>
    <cfRule type="expression" dxfId="850" priority="306">
      <formula>Q167&gt;=R167</formula>
    </cfRule>
  </conditionalFormatting>
  <conditionalFormatting sqref="S181:S182">
    <cfRule type="expression" dxfId="849" priority="295">
      <formula>R181&gt;Q181</formula>
    </cfRule>
    <cfRule type="expression" dxfId="848" priority="296">
      <formula>Q181&gt;=R181</formula>
    </cfRule>
  </conditionalFormatting>
  <conditionalFormatting sqref="S189">
    <cfRule type="expression" dxfId="847" priority="291">
      <formula>R189&gt;Q189</formula>
    </cfRule>
    <cfRule type="expression" dxfId="846" priority="292">
      <formula>Q189&gt;=R189</formula>
    </cfRule>
  </conditionalFormatting>
  <conditionalFormatting sqref="S190:S191">
    <cfRule type="expression" dxfId="845" priority="289">
      <formula>R190&gt;Q190</formula>
    </cfRule>
    <cfRule type="expression" dxfId="844" priority="290">
      <formula>Q190&gt;=R190</formula>
    </cfRule>
  </conditionalFormatting>
  <conditionalFormatting sqref="Z189">
    <cfRule type="expression" dxfId="843" priority="293">
      <formula>Y189&gt;X189</formula>
    </cfRule>
    <cfRule type="expression" dxfId="842" priority="294">
      <formula>X189&gt;=Y189</formula>
    </cfRule>
  </conditionalFormatting>
  <conditionalFormatting sqref="L94:L99 L116:L122 S137:S138 L134:L138">
    <cfRule type="expression" dxfId="71" priority="71">
      <formula>K94&gt;J94</formula>
    </cfRule>
    <cfRule type="expression" dxfId="70" priority="72">
      <formula>J94&gt;=K94</formula>
    </cfRule>
  </conditionalFormatting>
  <conditionalFormatting sqref="L48:L55">
    <cfRule type="expression" dxfId="69" priority="69">
      <formula>K48&gt;J48</formula>
    </cfRule>
    <cfRule type="expression" dxfId="68" priority="70">
      <formula>J48&gt;=K48</formula>
    </cfRule>
  </conditionalFormatting>
  <conditionalFormatting sqref="S49">
    <cfRule type="expression" dxfId="67" priority="67">
      <formula>R49&gt;Q49</formula>
    </cfRule>
    <cfRule type="expression" dxfId="66" priority="68">
      <formula>Q49&gt;=R49</formula>
    </cfRule>
  </conditionalFormatting>
  <conditionalFormatting sqref="Z49">
    <cfRule type="expression" dxfId="65" priority="65">
      <formula>Y49&gt;X49</formula>
    </cfRule>
    <cfRule type="expression" dxfId="64" priority="66">
      <formula>X49&gt;=Y49</formula>
    </cfRule>
  </conditionalFormatting>
  <conditionalFormatting sqref="L59:L63">
    <cfRule type="expression" dxfId="63" priority="63">
      <formula>K59&gt;J59</formula>
    </cfRule>
    <cfRule type="expression" dxfId="62" priority="64">
      <formula>J59&gt;=K59</formula>
    </cfRule>
  </conditionalFormatting>
  <conditionalFormatting sqref="Z76">
    <cfRule type="expression" dxfId="61" priority="55">
      <formula>Y76&gt;X76</formula>
    </cfRule>
    <cfRule type="expression" dxfId="60" priority="56">
      <formula>X76&gt;=Y76</formula>
    </cfRule>
  </conditionalFormatting>
  <conditionalFormatting sqref="Z60">
    <cfRule type="expression" dxfId="59" priority="61">
      <formula>Y60&gt;X60</formula>
    </cfRule>
    <cfRule type="expression" dxfId="58" priority="62">
      <formula>X60&gt;=Y60</formula>
    </cfRule>
  </conditionalFormatting>
  <conditionalFormatting sqref="Z143">
    <cfRule type="expression" dxfId="57" priority="41">
      <formula>Y143&gt;X143</formula>
    </cfRule>
    <cfRule type="expression" dxfId="56" priority="42">
      <formula>X143&gt;=Y143</formula>
    </cfRule>
  </conditionalFormatting>
  <conditionalFormatting sqref="S70">
    <cfRule type="expression" dxfId="55" priority="59">
      <formula>R70&gt;Q70</formula>
    </cfRule>
    <cfRule type="expression" dxfId="54" priority="60">
      <formula>Q70&gt;=R70</formula>
    </cfRule>
  </conditionalFormatting>
  <conditionalFormatting sqref="Z68">
    <cfRule type="expression" dxfId="53" priority="57">
      <formula>Y68&gt;X68</formula>
    </cfRule>
    <cfRule type="expression" dxfId="52" priority="58">
      <formula>X68&gt;=Y68</formula>
    </cfRule>
  </conditionalFormatting>
  <conditionalFormatting sqref="Z87">
    <cfRule type="expression" dxfId="51" priority="53">
      <formula>Y87&gt;X87</formula>
    </cfRule>
    <cfRule type="expression" dxfId="50" priority="54">
      <formula>X87&gt;=Y87</formula>
    </cfRule>
  </conditionalFormatting>
  <conditionalFormatting sqref="Z95">
    <cfRule type="expression" dxfId="49" priority="51">
      <formula>Y95&gt;X95</formula>
    </cfRule>
    <cfRule type="expression" dxfId="48" priority="52">
      <formula>X95&gt;=Y95</formula>
    </cfRule>
  </conditionalFormatting>
  <conditionalFormatting sqref="Z104">
    <cfRule type="expression" dxfId="47" priority="49">
      <formula>Y104&gt;X104</formula>
    </cfRule>
    <cfRule type="expression" dxfId="46" priority="50">
      <formula>X104&gt;=Y104</formula>
    </cfRule>
  </conditionalFormatting>
  <conditionalFormatting sqref="Z117">
    <cfRule type="expression" dxfId="45" priority="47">
      <formula>Y117&gt;X117</formula>
    </cfRule>
    <cfRule type="expression" dxfId="44" priority="48">
      <formula>X117&gt;=Y117</formula>
    </cfRule>
  </conditionalFormatting>
  <conditionalFormatting sqref="Z127">
    <cfRule type="expression" dxfId="43" priority="45">
      <formula>Y127&gt;X127</formula>
    </cfRule>
    <cfRule type="expression" dxfId="42" priority="46">
      <formula>X127&gt;=Y127</formula>
    </cfRule>
  </conditionalFormatting>
  <conditionalFormatting sqref="Z135">
    <cfRule type="expression" dxfId="41" priority="43">
      <formula>Y135&gt;X135</formula>
    </cfRule>
    <cfRule type="expression" dxfId="40" priority="44">
      <formula>X135&gt;=Y135</formula>
    </cfRule>
  </conditionalFormatting>
  <conditionalFormatting sqref="S97:S99">
    <cfRule type="expression" dxfId="39" priority="37">
      <formula>R97&gt;Q97</formula>
    </cfRule>
    <cfRule type="expression" dxfId="38" priority="38">
      <formula>Q97&gt;=R97</formula>
    </cfRule>
  </conditionalFormatting>
  <conditionalFormatting sqref="S87">
    <cfRule type="expression" dxfId="37" priority="39">
      <formula>R87&gt;Q87</formula>
    </cfRule>
    <cfRule type="expression" dxfId="36" priority="40">
      <formula>Q87&gt;=R87</formula>
    </cfRule>
  </conditionalFormatting>
  <conditionalFormatting sqref="S104">
    <cfRule type="expression" dxfId="35" priority="35">
      <formula>R104&gt;Q104</formula>
    </cfRule>
    <cfRule type="expression" dxfId="34" priority="36">
      <formula>Q104&gt;=R104</formula>
    </cfRule>
  </conditionalFormatting>
  <conditionalFormatting sqref="S117:S119">
    <cfRule type="expression" dxfId="33" priority="33">
      <formula>R117&gt;Q117</formula>
    </cfRule>
    <cfRule type="expression" dxfId="32" priority="34">
      <formula>Q117&gt;=R117</formula>
    </cfRule>
  </conditionalFormatting>
  <conditionalFormatting sqref="S127">
    <cfRule type="expression" dxfId="31" priority="31">
      <formula>R127&gt;Q127</formula>
    </cfRule>
    <cfRule type="expression" dxfId="30" priority="32">
      <formula>Q127&gt;=R127</formula>
    </cfRule>
  </conditionalFormatting>
  <conditionalFormatting sqref="S135">
    <cfRule type="expression" dxfId="29" priority="29">
      <formula>R135&gt;Q135</formula>
    </cfRule>
    <cfRule type="expression" dxfId="28" priority="30">
      <formula>Q135&gt;=R135</formula>
    </cfRule>
  </conditionalFormatting>
  <conditionalFormatting sqref="S143">
    <cfRule type="expression" dxfId="27" priority="27">
      <formula>R143&gt;Q143</formula>
    </cfRule>
    <cfRule type="expression" dxfId="26" priority="28">
      <formula>Q143&gt;=R143</formula>
    </cfRule>
  </conditionalFormatting>
  <conditionalFormatting sqref="S151">
    <cfRule type="expression" dxfId="25" priority="25">
      <formula>R151&gt;Q151</formula>
    </cfRule>
    <cfRule type="expression" dxfId="24" priority="26">
      <formula>Q151&gt;=R151</formula>
    </cfRule>
  </conditionalFormatting>
  <conditionalFormatting sqref="L67:L71">
    <cfRule type="expression" dxfId="23" priority="23">
      <formula>K67&gt;J67</formula>
    </cfRule>
    <cfRule type="expression" dxfId="22" priority="24">
      <formula>J67&gt;=K67</formula>
    </cfRule>
  </conditionalFormatting>
  <conditionalFormatting sqref="L75:L82">
    <cfRule type="expression" dxfId="21" priority="21">
      <formula>K75&gt;J75</formula>
    </cfRule>
    <cfRule type="expression" dxfId="20" priority="22">
      <formula>J75&gt;=K75</formula>
    </cfRule>
  </conditionalFormatting>
  <conditionalFormatting sqref="L86:L90">
    <cfRule type="expression" dxfId="19" priority="19">
      <formula>K86&gt;J86</formula>
    </cfRule>
    <cfRule type="expression" dxfId="18" priority="20">
      <formula>J86&gt;=K86</formula>
    </cfRule>
  </conditionalFormatting>
  <conditionalFormatting sqref="L103:L112">
    <cfRule type="expression" dxfId="17" priority="17">
      <formula>K103&gt;J103</formula>
    </cfRule>
    <cfRule type="expression" dxfId="16" priority="18">
      <formula>J103&gt;=K103</formula>
    </cfRule>
  </conditionalFormatting>
  <conditionalFormatting sqref="L126:L130">
    <cfRule type="expression" dxfId="15" priority="15">
      <formula>K126&gt;J126</formula>
    </cfRule>
    <cfRule type="expression" dxfId="14" priority="16">
      <formula>J126&gt;=K126</formula>
    </cfRule>
  </conditionalFormatting>
  <conditionalFormatting sqref="L142:L146">
    <cfRule type="expression" dxfId="13" priority="13">
      <formula>K142&gt;J142</formula>
    </cfRule>
    <cfRule type="expression" dxfId="12" priority="14">
      <formula>J142&gt;=K142</formula>
    </cfRule>
  </conditionalFormatting>
  <conditionalFormatting sqref="L150:L155">
    <cfRule type="expression" dxfId="11" priority="11">
      <formula>K150&gt;J150</formula>
    </cfRule>
    <cfRule type="expression" dxfId="10" priority="12">
      <formula>J150&gt;=K150</formula>
    </cfRule>
  </conditionalFormatting>
  <conditionalFormatting sqref="S60:S62">
    <cfRule type="expression" dxfId="9" priority="9">
      <formula>R60&gt;Q60</formula>
    </cfRule>
    <cfRule type="expression" dxfId="8" priority="10">
      <formula>Q60&gt;=R60</formula>
    </cfRule>
  </conditionalFormatting>
  <conditionalFormatting sqref="S68">
    <cfRule type="expression" dxfId="7" priority="7">
      <formula>R68&gt;Q68</formula>
    </cfRule>
    <cfRule type="expression" dxfId="6" priority="8">
      <formula>Q68&gt;=R68</formula>
    </cfRule>
  </conditionalFormatting>
  <conditionalFormatting sqref="S76:S80">
    <cfRule type="expression" dxfId="5" priority="5">
      <formula>R76&gt;Q76</formula>
    </cfRule>
    <cfRule type="expression" dxfId="4" priority="6">
      <formula>Q76&gt;=R76</formula>
    </cfRule>
  </conditionalFormatting>
  <conditionalFormatting sqref="S95">
    <cfRule type="expression" dxfId="3" priority="3">
      <formula>R95&gt;Q95</formula>
    </cfRule>
    <cfRule type="expression" dxfId="2" priority="4">
      <formula>Q95&gt;=R95</formula>
    </cfRule>
  </conditionalFormatting>
  <conditionalFormatting sqref="S120:S121">
    <cfRule type="expression" dxfId="1" priority="1">
      <formula>R120&gt;Q120</formula>
    </cfRule>
    <cfRule type="expression" dxfId="0" priority="2">
      <formula>Q120&gt;=R120</formula>
    </cfRule>
  </conditionalFormatting>
  <dataValidations disablePrompts="1" count="4">
    <dataValidation type="list" allowBlank="1" showInputMessage="1" showErrorMessage="1" sqref="F23:F29 G24:I29">
      <formula1>$AK$5:$AK$9</formula1>
    </dataValidation>
    <dataValidation type="list" allowBlank="1" showInputMessage="1" showErrorMessage="1" sqref="AA52:AC52 M52:O52 T52:V52 AA63:AC63 T63:V63 AA71:AC71 T120:V120 AA79:AC79 M63:O63 T71:V71 M71:O71 T79:V79 AA90:AC90 M79:O79 T90:V90 AA98:AC98 M90:O90 T98:V98 AA107:AC107 M98:O98 T107:V107 AA120:AC121 M107:O107 T154:V154 AA130:AC130 T130:V130 AA138:AC138 M120:O121 M130:O130 T138:V138 AA146:AC146 AA154:AC154 M138:O138 T146:V146 M146:O146 M154:O154">
      <formula1>"Muy Mala,Mala,Regular,Buena,Muy Buena"</formula1>
    </dataValidation>
    <dataValidation type="list" allowBlank="1" showInputMessage="1" showErrorMessage="1" sqref="AC50 O50 V50 AC61 V152 V61 AC69 O61 V69 AC77 O69 V77 AC88 O77 V88 AC96 O88 V96 AC105 O96 V105 AC118 O105 V118 AC128 O118 V128 AC136 O128 V136 AC144 O136 V144 AC152 O144 O152">
      <formula1>"SI,NO"</formula1>
    </dataValidation>
    <dataValidation type="list" allowBlank="1" showInputMessage="1" showErrorMessage="1" sqref="I16 I18">
      <formula1>$AK$25:$AK$29</formula1>
    </dataValidation>
  </dataValidations>
  <pageMargins left="0.25" right="0.25" top="0.75" bottom="0.75" header="0.3" footer="0.3"/>
  <pageSetup paperSize="9" scale="10" orientation="portrait" horizontalDpi="1200" verticalDpi="1200"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enableFormatConditionsCalculation="0"/>
  <dimension ref="A1:AL757"/>
  <sheetViews>
    <sheetView topLeftCell="A61" workbookViewId="0">
      <selection activeCell="A147" sqref="A147:AC258"/>
    </sheetView>
  </sheetViews>
  <sheetFormatPr baseColWidth="10" defaultRowHeight="15" x14ac:dyDescent="0.2"/>
  <cols>
    <col min="1" max="1" width="3.33203125" style="1" customWidth="1"/>
    <col min="2" max="2" width="5.6640625" style="1" customWidth="1"/>
    <col min="3" max="3" width="5.83203125" style="1" customWidth="1"/>
    <col min="4" max="28" width="6.6640625" style="1" customWidth="1"/>
    <col min="29" max="29" width="3.33203125" style="1" customWidth="1"/>
    <col min="30" max="31" width="6.6640625" style="1" customWidth="1"/>
    <col min="32" max="32" width="5.6640625" style="1" customWidth="1"/>
    <col min="33" max="33" width="10.83203125" style="1"/>
    <col min="34" max="34" width="16.1640625" style="1" customWidth="1"/>
    <col min="35" max="35" width="8.5" style="1" customWidth="1"/>
    <col min="36" max="16384" width="10.83203125" style="1"/>
  </cols>
  <sheetData>
    <row r="1" spans="1:38" x14ac:dyDescent="0.2">
      <c r="A1" s="31"/>
      <c r="B1" s="31"/>
      <c r="C1" s="31"/>
      <c r="D1" s="31"/>
      <c r="E1" s="38"/>
      <c r="F1" s="31"/>
      <c r="G1" s="31"/>
      <c r="H1" s="38"/>
      <c r="I1" s="31"/>
      <c r="J1" s="31"/>
      <c r="K1" s="31"/>
      <c r="L1" s="38"/>
      <c r="M1" s="38"/>
      <c r="N1" s="31"/>
      <c r="O1" s="31"/>
      <c r="P1" s="31"/>
      <c r="Q1" s="31"/>
      <c r="R1" s="31"/>
      <c r="S1" s="31"/>
      <c r="T1" s="38"/>
      <c r="U1" s="31"/>
      <c r="V1" s="31"/>
      <c r="W1" s="31"/>
      <c r="X1" s="31"/>
      <c r="Y1" s="49"/>
      <c r="Z1" s="49"/>
      <c r="AA1" s="49"/>
      <c r="AB1" s="49"/>
      <c r="AC1" s="49"/>
      <c r="AD1" s="49"/>
      <c r="AE1" s="49"/>
      <c r="AF1" s="49"/>
    </row>
    <row r="2" spans="1:38" x14ac:dyDescent="0.2">
      <c r="A2" s="31"/>
      <c r="B2" s="306" t="s">
        <v>0</v>
      </c>
      <c r="C2" s="306"/>
      <c r="D2" s="306" t="s">
        <v>1</v>
      </c>
      <c r="E2" s="306"/>
      <c r="F2" s="306" t="s">
        <v>2</v>
      </c>
      <c r="G2" s="306"/>
      <c r="H2" s="306" t="s">
        <v>3</v>
      </c>
      <c r="I2" s="306"/>
      <c r="J2" s="306" t="s">
        <v>4</v>
      </c>
      <c r="K2" s="306"/>
      <c r="L2" s="306" t="s">
        <v>5</v>
      </c>
      <c r="M2" s="306"/>
      <c r="N2" s="306" t="s">
        <v>6</v>
      </c>
      <c r="O2" s="306"/>
      <c r="P2" s="306" t="s">
        <v>10</v>
      </c>
      <c r="Q2" s="306"/>
      <c r="R2" s="306" t="s">
        <v>11</v>
      </c>
      <c r="S2" s="306"/>
      <c r="T2" s="306" t="s">
        <v>12</v>
      </c>
      <c r="U2" s="306"/>
      <c r="V2" s="306" t="s">
        <v>12</v>
      </c>
      <c r="W2" s="306"/>
      <c r="X2" s="306" t="s">
        <v>13</v>
      </c>
      <c r="Y2" s="306"/>
      <c r="Z2" s="306" t="s">
        <v>14</v>
      </c>
      <c r="AA2" s="306"/>
      <c r="AB2" s="49"/>
      <c r="AC2" s="49"/>
      <c r="AD2" s="49"/>
      <c r="AE2" s="49"/>
      <c r="AF2" s="49"/>
    </row>
    <row r="3" spans="1:38" x14ac:dyDescent="0.2">
      <c r="A3" s="31"/>
      <c r="B3" s="293">
        <f>TIEMPOS!B151</f>
        <v>1.0551697530864197E-3</v>
      </c>
      <c r="C3" s="293"/>
      <c r="D3" s="293">
        <f>TIEMPOS!C151</f>
        <v>1.6116898148148149E-3</v>
      </c>
      <c r="E3" s="293"/>
      <c r="F3" s="293">
        <f>TIEMPOS!D151</f>
        <v>2.1566358024691359E-3</v>
      </c>
      <c r="G3" s="293"/>
      <c r="H3" s="293">
        <f>TIEMPOS!E151</f>
        <v>2.7247299382716049E-3</v>
      </c>
      <c r="I3" s="293"/>
      <c r="J3" s="293">
        <f>TIEMPOS!F151</f>
        <v>3.3135609567901229E-3</v>
      </c>
      <c r="K3" s="293"/>
      <c r="L3" s="293">
        <f>TIEMPOS!G151</f>
        <v>4.5076195987654322E-3</v>
      </c>
      <c r="M3" s="293"/>
      <c r="N3" s="293">
        <f>TIEMPOS!H151</f>
        <v>5.6925154320987652E-3</v>
      </c>
      <c r="O3" s="293"/>
      <c r="P3" s="293">
        <f>TIEMPOS!I151</f>
        <v>3.0324074074074073E-3</v>
      </c>
      <c r="Q3" s="293"/>
      <c r="R3" s="293">
        <f>TIEMPOS!J151</f>
        <v>3.1481481481481482E-3</v>
      </c>
      <c r="S3" s="293"/>
      <c r="T3" s="293">
        <f>TIEMPOS!K151</f>
        <v>3.2523148148148147E-3</v>
      </c>
      <c r="U3" s="293"/>
      <c r="V3" s="293">
        <f>TIEMPOS!L151</f>
        <v>3.7268518518518519E-3</v>
      </c>
      <c r="W3" s="293"/>
      <c r="X3" s="293">
        <f>TIEMPOS!M151</f>
        <v>3.3584104938271606E-3</v>
      </c>
      <c r="Y3" s="293"/>
      <c r="Z3" s="293">
        <f>TIEMPOS!N151</f>
        <v>3.2040895061728391E-3</v>
      </c>
      <c r="AA3" s="293"/>
      <c r="AB3" s="49"/>
      <c r="AC3" s="49"/>
      <c r="AD3" s="49"/>
      <c r="AE3" s="49"/>
      <c r="AF3" s="49"/>
      <c r="AI3" s="1" t="e">
        <f t="shared" ref="AI3:AI9" si="0">VLOOKUP(AK3,$AJ$12:$AK$14,2,FALSE)</f>
        <v>#N/A</v>
      </c>
      <c r="AJ3" s="1" t="str">
        <f>PLANFIRST!C23</f>
        <v>Lunes</v>
      </c>
      <c r="AK3" s="1" t="str">
        <f>PLANFIRST!F23</f>
        <v>Entr. Cruzado</v>
      </c>
      <c r="AL3" s="105">
        <f>PLANFIRST!I19</f>
        <v>42653</v>
      </c>
    </row>
    <row r="4" spans="1:38" ht="16" thickBot="1" x14ac:dyDescent="0.25">
      <c r="A4" s="31"/>
      <c r="B4" s="293">
        <f>1000/400*B3</f>
        <v>2.6379243827160492E-3</v>
      </c>
      <c r="C4" s="293"/>
      <c r="D4" s="293">
        <f>1000/600*D3</f>
        <v>2.6861496913580252E-3</v>
      </c>
      <c r="E4" s="293"/>
      <c r="F4" s="293">
        <f>1000/800*F3</f>
        <v>2.6957947530864201E-3</v>
      </c>
      <c r="G4" s="293"/>
      <c r="H4" s="293">
        <f>1000/1000*H3</f>
        <v>2.7247299382716049E-3</v>
      </c>
      <c r="I4" s="293"/>
      <c r="J4" s="293">
        <f>1000/1200*J3</f>
        <v>2.7613007973251026E-3</v>
      </c>
      <c r="K4" s="293"/>
      <c r="L4" s="293">
        <f>1000/1600*L3</f>
        <v>2.8172622492283949E-3</v>
      </c>
      <c r="M4" s="293"/>
      <c r="N4" s="293">
        <f>1000/2000*N3</f>
        <v>2.8462577160493826E-3</v>
      </c>
      <c r="O4" s="293"/>
      <c r="P4" s="31"/>
      <c r="Q4" s="31"/>
      <c r="R4" s="31"/>
      <c r="S4" s="31"/>
      <c r="T4" s="38"/>
      <c r="U4" s="31"/>
      <c r="V4" s="31"/>
      <c r="W4" s="31"/>
      <c r="X4" s="31"/>
      <c r="Y4" s="49"/>
      <c r="Z4" s="49"/>
      <c r="AA4" s="49"/>
      <c r="AB4" s="49"/>
      <c r="AC4" s="49"/>
      <c r="AD4" s="49"/>
      <c r="AE4" s="49"/>
      <c r="AF4" s="49"/>
      <c r="AI4" s="1" t="str">
        <f t="shared" si="0"/>
        <v>SS</v>
      </c>
      <c r="AJ4" s="1" t="str">
        <f>PLANFIRST!C24</f>
        <v>Martes</v>
      </c>
      <c r="AK4" s="1" t="str">
        <f>PLANFIRST!F24</f>
        <v>Series</v>
      </c>
      <c r="AL4" s="105">
        <f>AL3+1</f>
        <v>42654</v>
      </c>
    </row>
    <row r="5" spans="1:38" ht="23.25" customHeight="1" thickTop="1" thickBot="1" x14ac:dyDescent="0.25">
      <c r="A5" s="37"/>
      <c r="B5" s="307" t="s">
        <v>66</v>
      </c>
      <c r="C5" s="308"/>
      <c r="D5" s="308"/>
      <c r="E5" s="308"/>
      <c r="F5" s="308"/>
      <c r="G5" s="308"/>
      <c r="H5" s="308"/>
      <c r="I5" s="308"/>
      <c r="J5" s="308"/>
      <c r="K5" s="308"/>
      <c r="L5" s="308"/>
      <c r="M5" s="308"/>
      <c r="N5" s="308"/>
      <c r="O5" s="308"/>
      <c r="P5" s="308"/>
      <c r="Q5" s="308"/>
      <c r="R5" s="308"/>
      <c r="S5" s="308"/>
      <c r="T5" s="308"/>
      <c r="U5" s="308"/>
      <c r="V5" s="308"/>
      <c r="W5" s="308"/>
      <c r="X5" s="308"/>
      <c r="Y5" s="308"/>
      <c r="Z5" s="308"/>
      <c r="AA5" s="308"/>
      <c r="AB5" s="309"/>
      <c r="AC5" s="37"/>
      <c r="AD5" s="41"/>
      <c r="AE5" s="41"/>
      <c r="AF5" s="41"/>
      <c r="AI5" s="1" t="e">
        <f t="shared" si="0"/>
        <v>#N/A</v>
      </c>
      <c r="AJ5" s="1" t="str">
        <f>PLANFIRST!C25</f>
        <v>Miercoles</v>
      </c>
      <c r="AK5" s="1" t="str">
        <f>PLANFIRST!F25</f>
        <v>Entr. Cruzado</v>
      </c>
      <c r="AL5" s="105">
        <f t="shared" ref="AL5:AL9" si="1">AL4+1</f>
        <v>42655</v>
      </c>
    </row>
    <row r="6" spans="1:38" ht="18" customHeight="1" thickTop="1" x14ac:dyDescent="0.2">
      <c r="A6" s="37"/>
      <c r="B6" s="33"/>
      <c r="C6" s="47" t="s">
        <v>67</v>
      </c>
      <c r="D6" s="41"/>
      <c r="E6" s="41"/>
      <c r="F6" s="41"/>
      <c r="G6" s="230" t="s">
        <v>7</v>
      </c>
      <c r="H6" s="231"/>
      <c r="I6" s="231"/>
      <c r="J6" s="231"/>
      <c r="K6" s="231"/>
      <c r="L6" s="231"/>
      <c r="M6" s="231"/>
      <c r="N6" s="232"/>
      <c r="O6" s="230" t="s">
        <v>75</v>
      </c>
      <c r="P6" s="231"/>
      <c r="Q6" s="231"/>
      <c r="R6" s="231"/>
      <c r="S6" s="231"/>
      <c r="T6" s="231"/>
      <c r="U6" s="232"/>
      <c r="V6" s="231" t="s">
        <v>51</v>
      </c>
      <c r="W6" s="231"/>
      <c r="X6" s="231"/>
      <c r="Y6" s="231"/>
      <c r="Z6" s="231"/>
      <c r="AA6" s="231"/>
      <c r="AB6" s="310"/>
      <c r="AC6" s="37"/>
      <c r="AD6" s="100"/>
      <c r="AE6" s="100"/>
      <c r="AF6" s="41"/>
      <c r="AI6" s="1" t="e">
        <f t="shared" si="0"/>
        <v>#N/A</v>
      </c>
      <c r="AJ6" s="1" t="str">
        <f>PLANFIRST!C26</f>
        <v>Jueves</v>
      </c>
      <c r="AK6" s="1" t="str">
        <f>PLANFIRST!F26</f>
        <v>Entr. Cruzado</v>
      </c>
      <c r="AL6" s="105">
        <f t="shared" si="1"/>
        <v>42656</v>
      </c>
    </row>
    <row r="7" spans="1:38" ht="18" customHeight="1" x14ac:dyDescent="0.2">
      <c r="A7" s="37"/>
      <c r="B7" s="32"/>
      <c r="C7" s="47" t="s">
        <v>68</v>
      </c>
      <c r="D7" s="41"/>
      <c r="E7" s="41"/>
      <c r="F7" s="41"/>
      <c r="G7" s="91" t="s">
        <v>72</v>
      </c>
      <c r="H7" s="47"/>
      <c r="I7" s="47"/>
      <c r="J7" s="47"/>
      <c r="K7" s="47"/>
      <c r="L7" s="47"/>
      <c r="M7" s="47"/>
      <c r="N7" s="92"/>
      <c r="O7" s="91" t="s">
        <v>164</v>
      </c>
      <c r="P7" s="47"/>
      <c r="Q7" s="47"/>
      <c r="R7" s="47"/>
      <c r="S7" s="47"/>
      <c r="T7" s="47"/>
      <c r="U7" s="92"/>
      <c r="V7" s="247" t="s">
        <v>166</v>
      </c>
      <c r="W7" s="248"/>
      <c r="X7" s="248"/>
      <c r="Y7" s="248"/>
      <c r="Z7" s="248"/>
      <c r="AA7" s="248"/>
      <c r="AB7" s="249"/>
      <c r="AC7" s="37"/>
      <c r="AD7" s="41"/>
      <c r="AE7" s="41"/>
      <c r="AF7" s="41"/>
      <c r="AI7" s="1" t="str">
        <f t="shared" si="0"/>
        <v>CC</v>
      </c>
      <c r="AJ7" s="1" t="str">
        <f>PLANFIRST!C27</f>
        <v>Viernes</v>
      </c>
      <c r="AK7" s="1" t="str">
        <f>PLANFIRST!F27</f>
        <v>Carrera Corta</v>
      </c>
      <c r="AL7" s="105">
        <f t="shared" si="1"/>
        <v>42657</v>
      </c>
    </row>
    <row r="8" spans="1:38" ht="18" customHeight="1" x14ac:dyDescent="0.2">
      <c r="A8" s="37"/>
      <c r="B8" s="32"/>
      <c r="C8" s="47" t="s">
        <v>69</v>
      </c>
      <c r="D8" s="41"/>
      <c r="E8" s="41"/>
      <c r="F8" s="41"/>
      <c r="G8" s="91" t="s">
        <v>73</v>
      </c>
      <c r="H8" s="47"/>
      <c r="I8" s="47"/>
      <c r="J8" s="47"/>
      <c r="K8" s="47"/>
      <c r="L8" s="47"/>
      <c r="M8" s="47"/>
      <c r="N8" s="92"/>
      <c r="O8" s="91" t="s">
        <v>165</v>
      </c>
      <c r="P8" s="47"/>
      <c r="Q8" s="47"/>
      <c r="R8" s="47"/>
      <c r="S8" s="47"/>
      <c r="T8" s="47"/>
      <c r="U8" s="92"/>
      <c r="V8" s="247"/>
      <c r="W8" s="248"/>
      <c r="X8" s="248"/>
      <c r="Y8" s="248"/>
      <c r="Z8" s="248"/>
      <c r="AA8" s="248"/>
      <c r="AB8" s="249"/>
      <c r="AC8" s="37"/>
      <c r="AD8" s="41"/>
      <c r="AE8" s="41"/>
      <c r="AF8" s="41"/>
      <c r="AI8" s="1" t="e">
        <f t="shared" si="0"/>
        <v>#N/A</v>
      </c>
      <c r="AJ8" s="1" t="str">
        <f>PLANFIRST!C28</f>
        <v>Sabado</v>
      </c>
      <c r="AK8" s="1" t="str">
        <f>PLANFIRST!F28</f>
        <v>Descanso</v>
      </c>
      <c r="AL8" s="105">
        <f t="shared" si="1"/>
        <v>42658</v>
      </c>
    </row>
    <row r="9" spans="1:38" ht="18" customHeight="1" x14ac:dyDescent="0.2">
      <c r="A9" s="37"/>
      <c r="B9" s="32"/>
      <c r="C9" s="47" t="s">
        <v>134</v>
      </c>
      <c r="D9" s="41"/>
      <c r="E9" s="41"/>
      <c r="F9" s="41"/>
      <c r="G9" s="91" t="s">
        <v>131</v>
      </c>
      <c r="H9" s="47"/>
      <c r="I9" s="47"/>
      <c r="J9" s="47"/>
      <c r="K9" s="47"/>
      <c r="L9" s="47"/>
      <c r="M9" s="47"/>
      <c r="N9" s="92"/>
      <c r="O9" s="247" t="s">
        <v>163</v>
      </c>
      <c r="P9" s="248"/>
      <c r="Q9" s="248"/>
      <c r="R9" s="248"/>
      <c r="S9" s="248"/>
      <c r="T9" s="248"/>
      <c r="U9" s="250"/>
      <c r="V9" s="47" t="s">
        <v>82</v>
      </c>
      <c r="W9" s="30"/>
      <c r="X9" s="41"/>
      <c r="Y9" s="41"/>
      <c r="Z9" s="41"/>
      <c r="AA9" s="41"/>
      <c r="AB9" s="44"/>
      <c r="AC9" s="37"/>
      <c r="AD9" s="41"/>
      <c r="AE9" s="41"/>
      <c r="AF9" s="41"/>
      <c r="AI9" s="1" t="str">
        <f t="shared" si="0"/>
        <v>CL</v>
      </c>
      <c r="AJ9" s="1" t="str">
        <f>PLANFIRST!C29</f>
        <v>Domingo</v>
      </c>
      <c r="AK9" s="1" t="str">
        <f>PLANFIRST!F29</f>
        <v>Carrera Larga</v>
      </c>
      <c r="AL9" s="105">
        <f t="shared" si="1"/>
        <v>42659</v>
      </c>
    </row>
    <row r="10" spans="1:38" ht="18" customHeight="1" x14ac:dyDescent="0.2">
      <c r="A10" s="37"/>
      <c r="B10" s="32"/>
      <c r="C10" s="47" t="s">
        <v>135</v>
      </c>
      <c r="D10" s="41"/>
      <c r="E10" s="41"/>
      <c r="F10" s="41"/>
      <c r="G10" s="91" t="s">
        <v>132</v>
      </c>
      <c r="H10" s="47"/>
      <c r="I10" s="47"/>
      <c r="J10" s="47"/>
      <c r="K10" s="47"/>
      <c r="L10" s="41"/>
      <c r="M10" s="41"/>
      <c r="N10" s="86"/>
      <c r="O10" s="247"/>
      <c r="P10" s="248"/>
      <c r="Q10" s="248"/>
      <c r="R10" s="248"/>
      <c r="S10" s="248"/>
      <c r="T10" s="248"/>
      <c r="U10" s="250"/>
      <c r="V10" s="41"/>
      <c r="W10" s="41"/>
      <c r="X10" s="41"/>
      <c r="Y10" s="41"/>
      <c r="Z10" s="41"/>
      <c r="AA10" s="41"/>
      <c r="AB10" s="44"/>
      <c r="AC10" s="37"/>
      <c r="AD10" s="41"/>
      <c r="AE10" s="41"/>
      <c r="AF10" s="41"/>
    </row>
    <row r="11" spans="1:38" ht="15.75" customHeight="1" x14ac:dyDescent="0.2">
      <c r="A11" s="37"/>
      <c r="B11" s="32"/>
      <c r="C11" s="47" t="s">
        <v>136</v>
      </c>
      <c r="D11" s="41"/>
      <c r="E11" s="41"/>
      <c r="F11" s="41"/>
      <c r="G11" s="82"/>
      <c r="H11" s="41"/>
      <c r="I11" s="41"/>
      <c r="J11" s="41"/>
      <c r="K11" s="41"/>
      <c r="L11" s="41"/>
      <c r="M11" s="41"/>
      <c r="N11" s="86"/>
      <c r="O11" s="82"/>
      <c r="P11" s="41"/>
      <c r="Q11" s="41"/>
      <c r="R11" s="41"/>
      <c r="S11" s="41"/>
      <c r="T11" s="41"/>
      <c r="U11" s="86"/>
      <c r="V11" s="41"/>
      <c r="W11" s="41"/>
      <c r="X11" s="41"/>
      <c r="Y11" s="41"/>
      <c r="Z11" s="41"/>
      <c r="AA11" s="41"/>
      <c r="AB11" s="44"/>
      <c r="AC11" s="37"/>
      <c r="AD11" s="41"/>
      <c r="AE11" s="41"/>
      <c r="AF11" s="41"/>
    </row>
    <row r="12" spans="1:38" ht="15.75" customHeight="1" x14ac:dyDescent="0.2">
      <c r="A12" s="37"/>
      <c r="B12" s="32"/>
      <c r="C12" s="47" t="s">
        <v>70</v>
      </c>
      <c r="D12" s="41"/>
      <c r="E12" s="41"/>
      <c r="F12" s="41"/>
      <c r="G12" s="91" t="s">
        <v>74</v>
      </c>
      <c r="H12" s="47"/>
      <c r="I12" s="47"/>
      <c r="J12" s="47"/>
      <c r="K12" s="47"/>
      <c r="L12" s="47"/>
      <c r="M12" s="47"/>
      <c r="N12" s="92"/>
      <c r="O12" s="91"/>
      <c r="P12" s="41"/>
      <c r="Q12" s="41"/>
      <c r="R12" s="41"/>
      <c r="S12" s="30"/>
      <c r="T12" s="30"/>
      <c r="U12" s="86"/>
      <c r="V12" s="41"/>
      <c r="W12" s="41"/>
      <c r="X12" s="41"/>
      <c r="Y12" s="41"/>
      <c r="Z12" s="41"/>
      <c r="AA12" s="41"/>
      <c r="AB12" s="44"/>
      <c r="AC12" s="37"/>
      <c r="AD12" s="41"/>
      <c r="AE12" s="41"/>
      <c r="AF12" s="41"/>
      <c r="AJ12" s="1" t="s">
        <v>17</v>
      </c>
      <c r="AK12" s="1" t="s">
        <v>167</v>
      </c>
    </row>
    <row r="13" spans="1:38" ht="15.75" customHeight="1" thickBot="1" x14ac:dyDescent="0.25">
      <c r="A13" s="37"/>
      <c r="B13" s="32"/>
      <c r="C13" s="47" t="s">
        <v>71</v>
      </c>
      <c r="D13" s="41"/>
      <c r="E13" s="41"/>
      <c r="F13" s="41"/>
      <c r="G13" s="93" t="s">
        <v>133</v>
      </c>
      <c r="H13" s="48"/>
      <c r="I13" s="48"/>
      <c r="J13" s="48"/>
      <c r="K13" s="48"/>
      <c r="L13" s="48"/>
      <c r="M13" s="48"/>
      <c r="N13" s="98"/>
      <c r="O13" s="93"/>
      <c r="P13" s="41"/>
      <c r="Q13" s="41"/>
      <c r="R13" s="41"/>
      <c r="S13" s="41"/>
      <c r="T13" s="41"/>
      <c r="U13" s="86"/>
      <c r="V13" s="41"/>
      <c r="W13" s="41"/>
      <c r="X13" s="41"/>
      <c r="Y13" s="41"/>
      <c r="Z13" s="41"/>
      <c r="AA13" s="41"/>
      <c r="AB13" s="44"/>
      <c r="AC13" s="37"/>
      <c r="AD13" s="41"/>
      <c r="AE13" s="41"/>
      <c r="AF13" s="41"/>
      <c r="AJ13" s="1" t="s">
        <v>18</v>
      </c>
      <c r="AK13" s="1" t="s">
        <v>168</v>
      </c>
    </row>
    <row r="14" spans="1:38" ht="19.5" customHeight="1" thickBot="1" x14ac:dyDescent="0.25">
      <c r="A14" s="37"/>
      <c r="B14" s="251" t="s">
        <v>52</v>
      </c>
      <c r="C14" s="255"/>
      <c r="D14" s="254" t="s">
        <v>7</v>
      </c>
      <c r="E14" s="253"/>
      <c r="F14" s="253"/>
      <c r="G14" s="253"/>
      <c r="H14" s="253"/>
      <c r="I14" s="253"/>
      <c r="J14" s="253"/>
      <c r="K14" s="253"/>
      <c r="L14" s="253"/>
      <c r="M14" s="253"/>
      <c r="N14" s="252"/>
      <c r="O14" s="254" t="s">
        <v>50</v>
      </c>
      <c r="P14" s="253"/>
      <c r="Q14" s="253"/>
      <c r="R14" s="253"/>
      <c r="S14" s="253"/>
      <c r="T14" s="253"/>
      <c r="U14" s="255"/>
      <c r="V14" s="256" t="s">
        <v>51</v>
      </c>
      <c r="W14" s="253"/>
      <c r="X14" s="253"/>
      <c r="Y14" s="253"/>
      <c r="Z14" s="252"/>
      <c r="AA14" s="252"/>
      <c r="AB14" s="257"/>
      <c r="AC14" s="37"/>
      <c r="AD14" s="41"/>
      <c r="AE14" s="41"/>
      <c r="AF14" s="41"/>
      <c r="AJ14" s="1" t="s">
        <v>19</v>
      </c>
      <c r="AK14" s="1" t="s">
        <v>169</v>
      </c>
    </row>
    <row r="15" spans="1:38" ht="16" customHeight="1" x14ac:dyDescent="0.2">
      <c r="A15" s="37"/>
      <c r="B15" s="235" t="s">
        <v>137</v>
      </c>
      <c r="C15" s="311"/>
      <c r="D15" s="200" t="str">
        <f>B$2</f>
        <v>400 M</v>
      </c>
      <c r="E15" s="201"/>
      <c r="F15" s="158">
        <f>$B$3</f>
        <v>1.0551697530864197E-3</v>
      </c>
      <c r="G15" s="158">
        <f>$B$4</f>
        <v>2.6379243827160492E-3</v>
      </c>
      <c r="H15" s="158"/>
      <c r="I15" s="140"/>
      <c r="J15" s="203" t="str">
        <f>J$2</f>
        <v>1200 M</v>
      </c>
      <c r="K15" s="258"/>
      <c r="L15" s="158">
        <f>$J$3</f>
        <v>3.3135609567901229E-3</v>
      </c>
      <c r="M15" s="158">
        <f>$J$4</f>
        <v>2.7613007973251026E-3</v>
      </c>
      <c r="N15" s="158"/>
      <c r="O15" s="94"/>
      <c r="P15" s="258" t="s">
        <v>91</v>
      </c>
      <c r="Q15" s="258"/>
      <c r="R15" s="258"/>
      <c r="S15" s="259">
        <f>$P$3</f>
        <v>3.0324074074074073E-3</v>
      </c>
      <c r="T15" s="259"/>
      <c r="U15" s="95"/>
      <c r="V15" s="69"/>
      <c r="W15" s="260" t="s">
        <v>94</v>
      </c>
      <c r="X15" s="260"/>
      <c r="Y15" s="260"/>
      <c r="Z15" s="261">
        <f>$X$3</f>
        <v>3.3584104938271606E-3</v>
      </c>
      <c r="AA15" s="261"/>
      <c r="AB15" s="68"/>
      <c r="AC15" s="37"/>
      <c r="AD15" s="41"/>
      <c r="AE15" s="41"/>
      <c r="AF15" s="41"/>
    </row>
    <row r="16" spans="1:38" ht="16" customHeight="1" x14ac:dyDescent="0.2">
      <c r="A16" s="37"/>
      <c r="B16" s="237"/>
      <c r="C16" s="312"/>
      <c r="D16" s="202" t="str">
        <f>D$2</f>
        <v>600 M</v>
      </c>
      <c r="E16" s="203"/>
      <c r="F16" s="158">
        <f>$D$3</f>
        <v>1.6116898148148149E-3</v>
      </c>
      <c r="G16" s="158">
        <f>$D$4</f>
        <v>2.6861496913580252E-3</v>
      </c>
      <c r="H16" s="158"/>
      <c r="I16" s="140"/>
      <c r="J16" s="203" t="str">
        <f>L$2</f>
        <v>1600 M</v>
      </c>
      <c r="K16" s="258"/>
      <c r="L16" s="158">
        <f>$L$3</f>
        <v>4.5076195987654322E-3</v>
      </c>
      <c r="M16" s="158">
        <f>$L$4</f>
        <v>2.8172622492283949E-3</v>
      </c>
      <c r="N16" s="158"/>
      <c r="O16" s="94"/>
      <c r="P16" s="258" t="s">
        <v>92</v>
      </c>
      <c r="Q16" s="258"/>
      <c r="R16" s="258"/>
      <c r="S16" s="261">
        <f>$R$3</f>
        <v>3.1481481481481482E-3</v>
      </c>
      <c r="T16" s="261"/>
      <c r="U16" s="95"/>
      <c r="V16" s="69"/>
      <c r="W16" s="258" t="s">
        <v>95</v>
      </c>
      <c r="X16" s="258"/>
      <c r="Y16" s="258"/>
      <c r="Z16" s="261">
        <f>$Z$3</f>
        <v>3.2040895061728391E-3</v>
      </c>
      <c r="AA16" s="261"/>
      <c r="AB16" s="68"/>
      <c r="AC16" s="37"/>
      <c r="AD16" s="41"/>
      <c r="AE16" s="41"/>
      <c r="AF16" s="41"/>
    </row>
    <row r="17" spans="1:32" ht="16" customHeight="1" x14ac:dyDescent="0.2">
      <c r="A17" s="37"/>
      <c r="B17" s="237"/>
      <c r="C17" s="312"/>
      <c r="D17" s="202" t="str">
        <f>F$2</f>
        <v>800 M</v>
      </c>
      <c r="E17" s="203"/>
      <c r="F17" s="158">
        <f>$F$3</f>
        <v>2.1566358024691359E-3</v>
      </c>
      <c r="G17" s="158">
        <f>$F$4</f>
        <v>2.6957947530864201E-3</v>
      </c>
      <c r="H17" s="158"/>
      <c r="I17" s="140"/>
      <c r="J17" s="203" t="str">
        <f>N$2</f>
        <v>2000 M</v>
      </c>
      <c r="K17" s="258"/>
      <c r="L17" s="158">
        <f>$N$3</f>
        <v>5.6925154320987652E-3</v>
      </c>
      <c r="M17" s="158">
        <f>$N$4</f>
        <v>2.8462577160493826E-3</v>
      </c>
      <c r="N17" s="158"/>
      <c r="O17" s="94"/>
      <c r="P17" s="258" t="s">
        <v>93</v>
      </c>
      <c r="Q17" s="258"/>
      <c r="R17" s="258"/>
      <c r="S17" s="261">
        <f>$T$3</f>
        <v>3.2523148148148147E-3</v>
      </c>
      <c r="T17" s="261"/>
      <c r="U17" s="95"/>
      <c r="V17" s="69"/>
      <c r="W17" s="69"/>
      <c r="X17" s="69"/>
      <c r="Y17" s="69"/>
      <c r="Z17" s="69"/>
      <c r="AA17" s="69"/>
      <c r="AB17" s="68"/>
      <c r="AC17" s="37"/>
      <c r="AD17" s="41"/>
      <c r="AE17" s="41"/>
      <c r="AF17" s="41"/>
    </row>
    <row r="18" spans="1:32" ht="16" customHeight="1" thickBot="1" x14ac:dyDescent="0.25">
      <c r="A18" s="37"/>
      <c r="B18" s="239"/>
      <c r="C18" s="313"/>
      <c r="D18" s="204" t="str">
        <f>H$2</f>
        <v xml:space="preserve">1000 M </v>
      </c>
      <c r="E18" s="205"/>
      <c r="F18" s="160">
        <f>$H$3</f>
        <v>2.7247299382716049E-3</v>
      </c>
      <c r="G18" s="160">
        <f>$H$4</f>
        <v>2.7247299382716049E-3</v>
      </c>
      <c r="H18" s="160"/>
      <c r="I18" s="70"/>
      <c r="J18" s="70"/>
      <c r="K18" s="70"/>
      <c r="L18" s="70"/>
      <c r="M18" s="70"/>
      <c r="N18" s="70"/>
      <c r="O18" s="96"/>
      <c r="P18" s="258" t="s">
        <v>179</v>
      </c>
      <c r="Q18" s="258"/>
      <c r="R18" s="258"/>
      <c r="S18" s="261">
        <f>$V$3</f>
        <v>3.7268518518518519E-3</v>
      </c>
      <c r="T18" s="261"/>
      <c r="U18" s="81"/>
      <c r="V18" s="69"/>
      <c r="W18" s="69"/>
      <c r="X18" s="69"/>
      <c r="Y18" s="69"/>
      <c r="Z18" s="106">
        <f>VLOOKUP($AK$12,$AI$3:$AL$9,4,FALSE)</f>
        <v>42654</v>
      </c>
      <c r="AA18" s="106">
        <f>VLOOKUP($AK$13,$AI$3:$AL$9,4,FALSE)</f>
        <v>42657</v>
      </c>
      <c r="AB18" s="107">
        <f>VLOOKUP($AK$14,$AI$3:$AL$9,4,FALSE)</f>
        <v>42659</v>
      </c>
      <c r="AC18" s="37"/>
      <c r="AD18" s="41"/>
      <c r="AE18" s="41"/>
      <c r="AF18" s="41"/>
    </row>
    <row r="19" spans="1:32" ht="16" customHeight="1" x14ac:dyDescent="0.2">
      <c r="A19" s="37"/>
      <c r="B19" s="172">
        <v>1</v>
      </c>
      <c r="C19" s="314"/>
      <c r="D19" s="178">
        <f>Z18</f>
        <v>42654</v>
      </c>
      <c r="E19" s="179"/>
      <c r="F19" s="179"/>
      <c r="G19" s="179"/>
      <c r="H19" s="179"/>
      <c r="I19" s="179"/>
      <c r="J19" s="179"/>
      <c r="K19" s="179"/>
      <c r="L19" s="179"/>
      <c r="M19" s="179"/>
      <c r="N19" s="179"/>
      <c r="O19" s="178">
        <f>AA18</f>
        <v>42657</v>
      </c>
      <c r="P19" s="179"/>
      <c r="Q19" s="179"/>
      <c r="R19" s="179"/>
      <c r="S19" s="179"/>
      <c r="T19" s="179"/>
      <c r="U19" s="180"/>
      <c r="V19" s="179">
        <f>AB18</f>
        <v>42659</v>
      </c>
      <c r="W19" s="179"/>
      <c r="X19" s="179"/>
      <c r="Y19" s="179"/>
      <c r="Z19" s="179"/>
      <c r="AA19" s="179"/>
      <c r="AB19" s="181"/>
      <c r="AC19" s="37"/>
      <c r="AD19" s="41"/>
      <c r="AE19" s="41"/>
      <c r="AF19" s="41"/>
    </row>
    <row r="20" spans="1:32" ht="16" customHeight="1" x14ac:dyDescent="0.2">
      <c r="A20" s="37"/>
      <c r="B20" s="174"/>
      <c r="C20" s="315"/>
      <c r="D20" s="182" t="s">
        <v>99</v>
      </c>
      <c r="E20" s="183"/>
      <c r="F20" s="183"/>
      <c r="G20" s="184"/>
      <c r="H20" s="185" t="s">
        <v>101</v>
      </c>
      <c r="I20" s="183"/>
      <c r="J20" s="183"/>
      <c r="K20" s="184"/>
      <c r="L20" s="183" t="s">
        <v>100</v>
      </c>
      <c r="M20" s="183"/>
      <c r="N20" s="183"/>
      <c r="O20" s="182" t="s">
        <v>99</v>
      </c>
      <c r="P20" s="183"/>
      <c r="Q20" s="183"/>
      <c r="R20" s="183"/>
      <c r="S20" s="185" t="s">
        <v>100</v>
      </c>
      <c r="T20" s="183"/>
      <c r="U20" s="186"/>
      <c r="V20" s="183" t="s">
        <v>99</v>
      </c>
      <c r="W20" s="183"/>
      <c r="X20" s="183"/>
      <c r="Y20" s="183"/>
      <c r="Z20" s="185" t="s">
        <v>100</v>
      </c>
      <c r="AA20" s="183"/>
      <c r="AB20" s="187"/>
      <c r="AC20" s="104"/>
      <c r="AD20" s="30"/>
      <c r="AE20" s="41"/>
      <c r="AF20" s="41"/>
    </row>
    <row r="21" spans="1:32" ht="16" customHeight="1" x14ac:dyDescent="0.2">
      <c r="A21" s="37"/>
      <c r="B21" s="174"/>
      <c r="C21" s="315"/>
      <c r="D21" s="188" t="s">
        <v>110</v>
      </c>
      <c r="E21" s="189"/>
      <c r="F21" s="189"/>
      <c r="G21" s="190"/>
      <c r="H21" s="43" t="s">
        <v>113</v>
      </c>
      <c r="I21" s="43" t="s">
        <v>114</v>
      </c>
      <c r="J21" s="71" t="s">
        <v>115</v>
      </c>
      <c r="K21" s="53" t="s">
        <v>116</v>
      </c>
      <c r="L21" s="77" t="s">
        <v>96</v>
      </c>
      <c r="M21" s="191"/>
      <c r="N21" s="191"/>
      <c r="O21" s="188" t="s">
        <v>110</v>
      </c>
      <c r="P21" s="189"/>
      <c r="Q21" s="189"/>
      <c r="R21" s="189"/>
      <c r="S21" s="77" t="s">
        <v>96</v>
      </c>
      <c r="T21" s="191"/>
      <c r="U21" s="192"/>
      <c r="V21" s="189" t="s">
        <v>110</v>
      </c>
      <c r="W21" s="189"/>
      <c r="X21" s="189"/>
      <c r="Y21" s="189"/>
      <c r="Z21" s="77" t="s">
        <v>96</v>
      </c>
      <c r="AA21" s="191"/>
      <c r="AB21" s="193"/>
      <c r="AC21" s="37"/>
      <c r="AD21" s="41"/>
      <c r="AE21" s="41"/>
      <c r="AF21" s="41"/>
    </row>
    <row r="22" spans="1:32" ht="16" customHeight="1" x14ac:dyDescent="0.2">
      <c r="A22" s="37"/>
      <c r="B22" s="174"/>
      <c r="C22" s="315"/>
      <c r="D22" s="82" t="s">
        <v>53</v>
      </c>
      <c r="E22" s="41" t="s">
        <v>54</v>
      </c>
      <c r="F22" s="41" t="s">
        <v>90</v>
      </c>
      <c r="G22" s="53" t="s">
        <v>55</v>
      </c>
      <c r="H22" s="43" t="s">
        <v>102</v>
      </c>
      <c r="I22" s="43">
        <f>F23</f>
        <v>1.0551697530864197E-3</v>
      </c>
      <c r="J22" s="71"/>
      <c r="K22" s="52" t="str">
        <f>IF(J22="","",ABS(I22-J22))</f>
        <v/>
      </c>
      <c r="L22" s="78" t="s">
        <v>97</v>
      </c>
      <c r="M22" s="164"/>
      <c r="N22" s="164"/>
      <c r="O22" s="82" t="s">
        <v>54</v>
      </c>
      <c r="P22" s="41" t="s">
        <v>65</v>
      </c>
      <c r="Q22" s="67" t="s">
        <v>117</v>
      </c>
      <c r="R22" s="41" t="s">
        <v>116</v>
      </c>
      <c r="S22" s="78" t="s">
        <v>97</v>
      </c>
      <c r="T22" s="164"/>
      <c r="U22" s="168"/>
      <c r="V22" s="41" t="s">
        <v>54</v>
      </c>
      <c r="W22" s="41" t="s">
        <v>65</v>
      </c>
      <c r="X22" s="67" t="s">
        <v>117</v>
      </c>
      <c r="Y22" s="41" t="s">
        <v>116</v>
      </c>
      <c r="Z22" s="78" t="s">
        <v>97</v>
      </c>
      <c r="AA22" s="164"/>
      <c r="AB22" s="169"/>
      <c r="AC22" s="37"/>
      <c r="AD22" s="41"/>
      <c r="AE22" s="41"/>
      <c r="AF22" s="41"/>
    </row>
    <row r="23" spans="1:32" ht="16" customHeight="1" x14ac:dyDescent="0.2">
      <c r="A23" s="37"/>
      <c r="B23" s="174"/>
      <c r="C23" s="315"/>
      <c r="D23" s="82" t="s">
        <v>56</v>
      </c>
      <c r="E23" s="41">
        <v>400</v>
      </c>
      <c r="F23" s="43">
        <f>F15</f>
        <v>1.0551697530864197E-3</v>
      </c>
      <c r="G23" s="53" t="s">
        <v>57</v>
      </c>
      <c r="H23" s="43" t="s">
        <v>103</v>
      </c>
      <c r="I23" s="43">
        <f>I22</f>
        <v>1.0551697530864197E-3</v>
      </c>
      <c r="J23" s="71"/>
      <c r="K23" s="52" t="str">
        <f t="shared" ref="K23:K29" si="2">IF(J23="","",ABS(I23-J23))</f>
        <v/>
      </c>
      <c r="L23" s="78" t="s">
        <v>98</v>
      </c>
      <c r="M23" s="164"/>
      <c r="N23" s="164"/>
      <c r="O23" s="82" t="s">
        <v>118</v>
      </c>
      <c r="P23" s="43">
        <f>S15</f>
        <v>3.0324074074074073E-3</v>
      </c>
      <c r="Q23" s="71"/>
      <c r="R23" s="52" t="str">
        <f>IF(Q23="","",ABS(P23-Q23))</f>
        <v/>
      </c>
      <c r="S23" s="78" t="s">
        <v>98</v>
      </c>
      <c r="T23" s="164"/>
      <c r="U23" s="168"/>
      <c r="V23" s="41" t="s">
        <v>119</v>
      </c>
      <c r="W23" s="43">
        <f>S17</f>
        <v>3.2523148148148147E-3</v>
      </c>
      <c r="X23" s="71"/>
      <c r="Y23" s="52" t="str">
        <f>IF(X23="","",ABS(W23-X23))</f>
        <v/>
      </c>
      <c r="Z23" s="78" t="s">
        <v>98</v>
      </c>
      <c r="AA23" s="164"/>
      <c r="AB23" s="169"/>
      <c r="AC23" s="37"/>
      <c r="AD23" s="41"/>
      <c r="AE23" s="41"/>
      <c r="AF23" s="41"/>
    </row>
    <row r="24" spans="1:32" ht="16" customHeight="1" x14ac:dyDescent="0.2">
      <c r="A24" s="37"/>
      <c r="B24" s="174"/>
      <c r="C24" s="315"/>
      <c r="D24" s="165" t="s">
        <v>111</v>
      </c>
      <c r="E24" s="166"/>
      <c r="F24" s="166"/>
      <c r="G24" s="167"/>
      <c r="H24" s="43" t="s">
        <v>104</v>
      </c>
      <c r="I24" s="60">
        <f t="shared" ref="I24:I29" si="3">I23</f>
        <v>1.0551697530864197E-3</v>
      </c>
      <c r="J24" s="71"/>
      <c r="K24" s="52" t="str">
        <f t="shared" si="2"/>
        <v/>
      </c>
      <c r="L24" s="170" t="s">
        <v>112</v>
      </c>
      <c r="M24" s="171"/>
      <c r="N24" s="90"/>
      <c r="O24" s="165" t="s">
        <v>111</v>
      </c>
      <c r="P24" s="166"/>
      <c r="Q24" s="166"/>
      <c r="R24" s="167"/>
      <c r="S24" s="170" t="s">
        <v>112</v>
      </c>
      <c r="T24" s="171"/>
      <c r="U24" s="83"/>
      <c r="V24" s="166" t="s">
        <v>111</v>
      </c>
      <c r="W24" s="166"/>
      <c r="X24" s="166"/>
      <c r="Y24" s="167"/>
      <c r="Z24" s="170" t="s">
        <v>112</v>
      </c>
      <c r="AA24" s="171"/>
      <c r="AB24" s="80"/>
      <c r="AC24" s="37"/>
      <c r="AD24" s="41"/>
      <c r="AE24" s="41"/>
      <c r="AF24" s="41"/>
    </row>
    <row r="25" spans="1:32" ht="16" customHeight="1" x14ac:dyDescent="0.2">
      <c r="A25" s="37"/>
      <c r="B25" s="174"/>
      <c r="C25" s="315"/>
      <c r="D25" s="84"/>
      <c r="E25" s="43"/>
      <c r="F25" s="43"/>
      <c r="G25" s="53"/>
      <c r="H25" s="43" t="s">
        <v>105</v>
      </c>
      <c r="I25" s="60">
        <f t="shared" si="3"/>
        <v>1.0551697530864197E-3</v>
      </c>
      <c r="J25" s="71"/>
      <c r="K25" s="52" t="str">
        <f t="shared" si="2"/>
        <v/>
      </c>
      <c r="L25" s="163" t="s">
        <v>88</v>
      </c>
      <c r="M25" s="164"/>
      <c r="N25" s="164"/>
      <c r="O25" s="82"/>
      <c r="P25" s="41"/>
      <c r="Q25" s="41"/>
      <c r="R25" s="41"/>
      <c r="S25" s="163" t="s">
        <v>88</v>
      </c>
      <c r="T25" s="164"/>
      <c r="U25" s="168"/>
      <c r="V25" s="30"/>
      <c r="W25" s="30"/>
      <c r="X25" s="30"/>
      <c r="Y25" s="30"/>
      <c r="Z25" s="163" t="s">
        <v>88</v>
      </c>
      <c r="AA25" s="164"/>
      <c r="AB25" s="169"/>
      <c r="AC25" s="37"/>
      <c r="AD25" s="41"/>
      <c r="AE25" s="41"/>
      <c r="AF25" s="41"/>
    </row>
    <row r="26" spans="1:32" ht="16" customHeight="1" x14ac:dyDescent="0.2">
      <c r="A26" s="37"/>
      <c r="B26" s="174"/>
      <c r="C26" s="315"/>
      <c r="D26" s="84"/>
      <c r="E26" s="43"/>
      <c r="F26" s="43"/>
      <c r="G26" s="53"/>
      <c r="H26" s="43" t="s">
        <v>106</v>
      </c>
      <c r="I26" s="60">
        <f t="shared" si="3"/>
        <v>1.0551697530864197E-3</v>
      </c>
      <c r="J26" s="71"/>
      <c r="K26" s="52" t="str">
        <f t="shared" si="2"/>
        <v/>
      </c>
      <c r="L26" s="163"/>
      <c r="M26" s="164"/>
      <c r="N26" s="164"/>
      <c r="O26" s="82"/>
      <c r="P26" s="41"/>
      <c r="Q26" s="41"/>
      <c r="R26" s="41"/>
      <c r="S26" s="163"/>
      <c r="T26" s="164"/>
      <c r="U26" s="168"/>
      <c r="V26" s="30"/>
      <c r="W26" s="30"/>
      <c r="X26" s="30"/>
      <c r="Y26" s="30"/>
      <c r="Z26" s="163"/>
      <c r="AA26" s="164"/>
      <c r="AB26" s="169"/>
      <c r="AC26" s="37"/>
      <c r="AD26" s="41"/>
      <c r="AE26" s="41"/>
      <c r="AF26" s="41"/>
    </row>
    <row r="27" spans="1:32" ht="16" customHeight="1" x14ac:dyDescent="0.2">
      <c r="A27" s="37"/>
      <c r="B27" s="174"/>
      <c r="C27" s="315"/>
      <c r="D27" s="84"/>
      <c r="E27" s="43"/>
      <c r="F27" s="43"/>
      <c r="G27" s="53"/>
      <c r="H27" s="43" t="s">
        <v>107</v>
      </c>
      <c r="I27" s="60">
        <f t="shared" si="3"/>
        <v>1.0551697530864197E-3</v>
      </c>
      <c r="J27" s="71"/>
      <c r="K27" s="52" t="str">
        <f t="shared" si="2"/>
        <v/>
      </c>
      <c r="L27" s="41"/>
      <c r="M27" s="41"/>
      <c r="N27" s="30"/>
      <c r="O27" s="82"/>
      <c r="P27" s="41"/>
      <c r="Q27" s="41"/>
      <c r="R27" s="41"/>
      <c r="S27" s="50"/>
      <c r="T27" s="41"/>
      <c r="U27" s="85"/>
      <c r="V27" s="30"/>
      <c r="W27" s="30"/>
      <c r="X27" s="30"/>
      <c r="Y27" s="30"/>
      <c r="Z27" s="50"/>
      <c r="AA27" s="41"/>
      <c r="AB27" s="35"/>
      <c r="AC27" s="37"/>
      <c r="AD27" s="41"/>
      <c r="AE27" s="41"/>
      <c r="AF27" s="41"/>
    </row>
    <row r="28" spans="1:32" ht="16" customHeight="1" x14ac:dyDescent="0.2">
      <c r="A28" s="37"/>
      <c r="B28" s="174"/>
      <c r="C28" s="315"/>
      <c r="D28" s="84"/>
      <c r="E28" s="43"/>
      <c r="F28" s="43"/>
      <c r="G28" s="53"/>
      <c r="H28" s="43" t="s">
        <v>108</v>
      </c>
      <c r="I28" s="60">
        <f t="shared" si="3"/>
        <v>1.0551697530864197E-3</v>
      </c>
      <c r="J28" s="71"/>
      <c r="K28" s="52" t="str">
        <f t="shared" si="2"/>
        <v/>
      </c>
      <c r="L28" s="41"/>
      <c r="M28" s="41"/>
      <c r="N28" s="41"/>
      <c r="O28" s="82"/>
      <c r="P28" s="41"/>
      <c r="Q28" s="41"/>
      <c r="R28" s="41"/>
      <c r="S28" s="50"/>
      <c r="T28" s="41"/>
      <c r="U28" s="86"/>
      <c r="V28" s="30"/>
      <c r="W28" s="30"/>
      <c r="X28" s="30"/>
      <c r="Y28" s="30"/>
      <c r="Z28" s="50"/>
      <c r="AA28" s="41"/>
      <c r="AB28" s="44"/>
      <c r="AC28" s="37"/>
      <c r="AD28" s="41"/>
      <c r="AE28" s="41"/>
      <c r="AF28" s="41"/>
    </row>
    <row r="29" spans="1:32" ht="16" customHeight="1" thickBot="1" x14ac:dyDescent="0.25">
      <c r="A29" s="37"/>
      <c r="B29" s="198"/>
      <c r="C29" s="316"/>
      <c r="D29" s="87"/>
      <c r="E29" s="40"/>
      <c r="F29" s="40"/>
      <c r="G29" s="51"/>
      <c r="H29" s="40" t="s">
        <v>109</v>
      </c>
      <c r="I29" s="60">
        <f t="shared" si="3"/>
        <v>1.0551697530864197E-3</v>
      </c>
      <c r="J29" s="72"/>
      <c r="K29" s="52" t="str">
        <f t="shared" si="2"/>
        <v/>
      </c>
      <c r="L29" s="194"/>
      <c r="M29" s="195"/>
      <c r="N29" s="195"/>
      <c r="O29" s="97"/>
      <c r="P29" s="42"/>
      <c r="Q29" s="42"/>
      <c r="R29" s="42"/>
      <c r="S29" s="194"/>
      <c r="T29" s="195"/>
      <c r="U29" s="196"/>
      <c r="V29" s="34"/>
      <c r="W29" s="34"/>
      <c r="X29" s="34"/>
      <c r="Y29" s="34"/>
      <c r="Z29" s="194"/>
      <c r="AA29" s="195"/>
      <c r="AB29" s="197"/>
      <c r="AC29" s="37"/>
      <c r="AD29" s="41"/>
      <c r="AE29" s="41"/>
      <c r="AF29" s="41"/>
    </row>
    <row r="30" spans="1:32" ht="16" customHeight="1" x14ac:dyDescent="0.2">
      <c r="A30" s="37"/>
      <c r="B30" s="172">
        <f>B19+1</f>
        <v>2</v>
      </c>
      <c r="C30" s="314"/>
      <c r="D30" s="178">
        <f>D19+(B30-1)*7</f>
        <v>42661</v>
      </c>
      <c r="E30" s="179"/>
      <c r="F30" s="179"/>
      <c r="G30" s="179"/>
      <c r="H30" s="179"/>
      <c r="I30" s="179"/>
      <c r="J30" s="179"/>
      <c r="K30" s="179"/>
      <c r="L30" s="179"/>
      <c r="M30" s="179"/>
      <c r="N30" s="179"/>
      <c r="O30" s="178">
        <f>O19+(B30-1)*7</f>
        <v>42664</v>
      </c>
      <c r="P30" s="179"/>
      <c r="Q30" s="179"/>
      <c r="R30" s="179"/>
      <c r="S30" s="179"/>
      <c r="T30" s="179"/>
      <c r="U30" s="180"/>
      <c r="V30" s="179">
        <f>V19+(B30-1)*7</f>
        <v>42666</v>
      </c>
      <c r="W30" s="179"/>
      <c r="X30" s="179"/>
      <c r="Y30" s="179"/>
      <c r="Z30" s="179"/>
      <c r="AA30" s="179"/>
      <c r="AB30" s="181"/>
      <c r="AC30" s="37"/>
      <c r="AD30" s="41"/>
      <c r="AE30" s="41"/>
      <c r="AF30" s="41"/>
    </row>
    <row r="31" spans="1:32" ht="16" customHeight="1" x14ac:dyDescent="0.2">
      <c r="A31" s="37"/>
      <c r="B31" s="174"/>
      <c r="C31" s="315"/>
      <c r="D31" s="182" t="s">
        <v>99</v>
      </c>
      <c r="E31" s="183"/>
      <c r="F31" s="183"/>
      <c r="G31" s="184"/>
      <c r="H31" s="185" t="s">
        <v>101</v>
      </c>
      <c r="I31" s="183"/>
      <c r="J31" s="183"/>
      <c r="K31" s="184"/>
      <c r="L31" s="183" t="s">
        <v>100</v>
      </c>
      <c r="M31" s="183"/>
      <c r="N31" s="183"/>
      <c r="O31" s="182" t="s">
        <v>99</v>
      </c>
      <c r="P31" s="183"/>
      <c r="Q31" s="183"/>
      <c r="R31" s="183"/>
      <c r="S31" s="185" t="s">
        <v>100</v>
      </c>
      <c r="T31" s="183"/>
      <c r="U31" s="186"/>
      <c r="V31" s="183" t="s">
        <v>99</v>
      </c>
      <c r="W31" s="183"/>
      <c r="X31" s="183"/>
      <c r="Y31" s="183"/>
      <c r="Z31" s="185" t="s">
        <v>100</v>
      </c>
      <c r="AA31" s="183"/>
      <c r="AB31" s="187"/>
      <c r="AC31" s="37"/>
      <c r="AD31" s="41"/>
      <c r="AE31" s="41"/>
      <c r="AF31" s="41"/>
    </row>
    <row r="32" spans="1:32" ht="16" customHeight="1" x14ac:dyDescent="0.2">
      <c r="A32" s="37"/>
      <c r="B32" s="174"/>
      <c r="C32" s="315"/>
      <c r="D32" s="188" t="s">
        <v>110</v>
      </c>
      <c r="E32" s="189"/>
      <c r="F32" s="189"/>
      <c r="G32" s="190"/>
      <c r="H32" s="43" t="s">
        <v>113</v>
      </c>
      <c r="I32" s="43" t="s">
        <v>114</v>
      </c>
      <c r="J32" s="71" t="s">
        <v>115</v>
      </c>
      <c r="K32" s="53" t="s">
        <v>116</v>
      </c>
      <c r="L32" s="77" t="s">
        <v>96</v>
      </c>
      <c r="M32" s="191"/>
      <c r="N32" s="191"/>
      <c r="O32" s="188" t="s">
        <v>110</v>
      </c>
      <c r="P32" s="189"/>
      <c r="Q32" s="189"/>
      <c r="R32" s="189"/>
      <c r="S32" s="77" t="s">
        <v>96</v>
      </c>
      <c r="T32" s="191"/>
      <c r="U32" s="192"/>
      <c r="V32" s="189" t="s">
        <v>110</v>
      </c>
      <c r="W32" s="189"/>
      <c r="X32" s="189"/>
      <c r="Y32" s="189"/>
      <c r="Z32" s="77" t="s">
        <v>96</v>
      </c>
      <c r="AA32" s="191"/>
      <c r="AB32" s="193"/>
      <c r="AC32" s="37"/>
      <c r="AD32" s="41"/>
      <c r="AE32" s="41"/>
      <c r="AF32" s="41"/>
    </row>
    <row r="33" spans="1:32" ht="16" customHeight="1" x14ac:dyDescent="0.2">
      <c r="A33" s="37"/>
      <c r="B33" s="174"/>
      <c r="C33" s="315"/>
      <c r="D33" s="82" t="s">
        <v>53</v>
      </c>
      <c r="E33" s="41" t="s">
        <v>54</v>
      </c>
      <c r="F33" s="41" t="s">
        <v>90</v>
      </c>
      <c r="G33" s="53" t="s">
        <v>55</v>
      </c>
      <c r="H33" s="43" t="s">
        <v>102</v>
      </c>
      <c r="I33" s="43">
        <f>F34</f>
        <v>2.1566358024691359E-3</v>
      </c>
      <c r="J33" s="71"/>
      <c r="K33" s="52" t="str">
        <f>IF(J33="","",ABS(I33-J33))</f>
        <v/>
      </c>
      <c r="L33" s="78" t="s">
        <v>97</v>
      </c>
      <c r="M33" s="164"/>
      <c r="N33" s="164"/>
      <c r="O33" s="82" t="s">
        <v>54</v>
      </c>
      <c r="P33" s="41" t="s">
        <v>65</v>
      </c>
      <c r="Q33" s="67" t="s">
        <v>117</v>
      </c>
      <c r="R33" s="41" t="s">
        <v>116</v>
      </c>
      <c r="S33" s="78" t="s">
        <v>97</v>
      </c>
      <c r="T33" s="164"/>
      <c r="U33" s="168"/>
      <c r="V33" s="41" t="s">
        <v>54</v>
      </c>
      <c r="W33" s="41" t="s">
        <v>65</v>
      </c>
      <c r="X33" s="67" t="s">
        <v>117</v>
      </c>
      <c r="Y33" s="41" t="s">
        <v>116</v>
      </c>
      <c r="Z33" s="78" t="s">
        <v>97</v>
      </c>
      <c r="AA33" s="164"/>
      <c r="AB33" s="169"/>
      <c r="AC33" s="37"/>
      <c r="AD33" s="41"/>
      <c r="AE33" s="41"/>
      <c r="AF33" s="41"/>
    </row>
    <row r="34" spans="1:32" ht="16" customHeight="1" x14ac:dyDescent="0.2">
      <c r="A34" s="37"/>
      <c r="B34" s="174"/>
      <c r="C34" s="315"/>
      <c r="D34" s="82" t="s">
        <v>58</v>
      </c>
      <c r="E34" s="41">
        <v>800</v>
      </c>
      <c r="F34" s="43">
        <f>F17</f>
        <v>2.1566358024691359E-3</v>
      </c>
      <c r="G34" s="53" t="s">
        <v>57</v>
      </c>
      <c r="H34" s="43" t="s">
        <v>103</v>
      </c>
      <c r="I34" s="43">
        <f>I33</f>
        <v>2.1566358024691359E-3</v>
      </c>
      <c r="J34" s="71"/>
      <c r="K34" s="52" t="str">
        <f t="shared" ref="K34:K37" si="4">IF(J34="","",ABS(I34-J34))</f>
        <v/>
      </c>
      <c r="L34" s="78" t="s">
        <v>98</v>
      </c>
      <c r="M34" s="164"/>
      <c r="N34" s="164"/>
      <c r="O34" s="82" t="s">
        <v>120</v>
      </c>
      <c r="P34" s="43">
        <f>S15</f>
        <v>3.0324074074074073E-3</v>
      </c>
      <c r="Q34" s="71"/>
      <c r="R34" s="52" t="str">
        <f>IF(Q34="","",ABS(P34-Q34))</f>
        <v/>
      </c>
      <c r="S34" s="78" t="s">
        <v>98</v>
      </c>
      <c r="T34" s="164"/>
      <c r="U34" s="168"/>
      <c r="V34" s="41" t="s">
        <v>121</v>
      </c>
      <c r="W34" s="43">
        <f>S17</f>
        <v>3.2523148148148147E-3</v>
      </c>
      <c r="X34" s="71"/>
      <c r="Y34" s="52" t="str">
        <f>IF(X34="","",ABS(W34-X34))</f>
        <v/>
      </c>
      <c r="Z34" s="78" t="s">
        <v>98</v>
      </c>
      <c r="AA34" s="164"/>
      <c r="AB34" s="169"/>
      <c r="AC34" s="37"/>
      <c r="AD34" s="41"/>
      <c r="AE34" s="41"/>
      <c r="AF34" s="41"/>
    </row>
    <row r="35" spans="1:32" ht="16" customHeight="1" x14ac:dyDescent="0.2">
      <c r="A35" s="37"/>
      <c r="B35" s="174"/>
      <c r="C35" s="315"/>
      <c r="D35" s="165" t="s">
        <v>111</v>
      </c>
      <c r="E35" s="166"/>
      <c r="F35" s="166"/>
      <c r="G35" s="167"/>
      <c r="H35" s="43" t="s">
        <v>104</v>
      </c>
      <c r="I35" s="60">
        <f t="shared" ref="I35:I37" si="5">I34</f>
        <v>2.1566358024691359E-3</v>
      </c>
      <c r="J35" s="71"/>
      <c r="K35" s="52" t="str">
        <f t="shared" si="4"/>
        <v/>
      </c>
      <c r="L35" s="170" t="s">
        <v>112</v>
      </c>
      <c r="M35" s="171"/>
      <c r="N35" s="90"/>
      <c r="O35" s="165" t="s">
        <v>111</v>
      </c>
      <c r="P35" s="166"/>
      <c r="Q35" s="166"/>
      <c r="R35" s="167"/>
      <c r="S35" s="170" t="s">
        <v>112</v>
      </c>
      <c r="T35" s="171"/>
      <c r="U35" s="83"/>
      <c r="V35" s="166" t="s">
        <v>111</v>
      </c>
      <c r="W35" s="166"/>
      <c r="X35" s="166"/>
      <c r="Y35" s="167"/>
      <c r="Z35" s="170" t="s">
        <v>112</v>
      </c>
      <c r="AA35" s="171"/>
      <c r="AB35" s="80"/>
      <c r="AC35" s="37"/>
      <c r="AD35" s="41"/>
      <c r="AE35" s="41"/>
      <c r="AF35" s="41"/>
    </row>
    <row r="36" spans="1:32" ht="16" customHeight="1" x14ac:dyDescent="0.2">
      <c r="A36" s="37"/>
      <c r="B36" s="174"/>
      <c r="C36" s="315"/>
      <c r="D36" s="84"/>
      <c r="E36" s="43"/>
      <c r="F36" s="43"/>
      <c r="G36" s="53"/>
      <c r="H36" s="43" t="s">
        <v>105</v>
      </c>
      <c r="I36" s="60">
        <f t="shared" si="5"/>
        <v>2.1566358024691359E-3</v>
      </c>
      <c r="J36" s="71"/>
      <c r="K36" s="52" t="str">
        <f t="shared" si="4"/>
        <v/>
      </c>
      <c r="L36" s="163" t="s">
        <v>88</v>
      </c>
      <c r="M36" s="164"/>
      <c r="N36" s="164"/>
      <c r="O36" s="82"/>
      <c r="P36" s="41"/>
      <c r="Q36" s="41"/>
      <c r="R36" s="41"/>
      <c r="S36" s="163" t="s">
        <v>88</v>
      </c>
      <c r="T36" s="164"/>
      <c r="U36" s="168"/>
      <c r="V36" s="30"/>
      <c r="W36" s="30"/>
      <c r="X36" s="30"/>
      <c r="Y36" s="30"/>
      <c r="Z36" s="163" t="s">
        <v>88</v>
      </c>
      <c r="AA36" s="164"/>
      <c r="AB36" s="169"/>
      <c r="AC36" s="37"/>
      <c r="AD36" s="41"/>
      <c r="AE36" s="41"/>
      <c r="AF36" s="41"/>
    </row>
    <row r="37" spans="1:32" ht="16" customHeight="1" thickBot="1" x14ac:dyDescent="0.25">
      <c r="A37" s="37"/>
      <c r="B37" s="174"/>
      <c r="C37" s="315"/>
      <c r="D37" s="84"/>
      <c r="E37" s="43"/>
      <c r="F37" s="43"/>
      <c r="G37" s="53"/>
      <c r="H37" s="43" t="s">
        <v>106</v>
      </c>
      <c r="I37" s="60">
        <f t="shared" si="5"/>
        <v>2.1566358024691359E-3</v>
      </c>
      <c r="J37" s="71"/>
      <c r="K37" s="52" t="str">
        <f t="shared" si="4"/>
        <v/>
      </c>
      <c r="L37" s="163"/>
      <c r="M37" s="164"/>
      <c r="N37" s="164"/>
      <c r="O37" s="82"/>
      <c r="P37" s="41"/>
      <c r="Q37" s="41"/>
      <c r="R37" s="41"/>
      <c r="S37" s="163"/>
      <c r="T37" s="164"/>
      <c r="U37" s="168"/>
      <c r="V37" s="30"/>
      <c r="W37" s="30"/>
      <c r="X37" s="30"/>
      <c r="Y37" s="30"/>
      <c r="Z37" s="163"/>
      <c r="AA37" s="164"/>
      <c r="AB37" s="169"/>
      <c r="AC37" s="37"/>
      <c r="AD37" s="41"/>
      <c r="AE37" s="41"/>
      <c r="AF37" s="41"/>
    </row>
    <row r="38" spans="1:32" ht="16" customHeight="1" x14ac:dyDescent="0.2">
      <c r="A38" s="37"/>
      <c r="B38" s="172">
        <f>B30+1</f>
        <v>3</v>
      </c>
      <c r="C38" s="314"/>
      <c r="D38" s="178">
        <f>D19+(B38-1)*7</f>
        <v>42668</v>
      </c>
      <c r="E38" s="179"/>
      <c r="F38" s="179"/>
      <c r="G38" s="179"/>
      <c r="H38" s="179"/>
      <c r="I38" s="179"/>
      <c r="J38" s="179"/>
      <c r="K38" s="179"/>
      <c r="L38" s="179"/>
      <c r="M38" s="179"/>
      <c r="N38" s="179"/>
      <c r="O38" s="178">
        <f>O19+(B38-1)*7</f>
        <v>42671</v>
      </c>
      <c r="P38" s="179"/>
      <c r="Q38" s="179"/>
      <c r="R38" s="179"/>
      <c r="S38" s="179"/>
      <c r="T38" s="179"/>
      <c r="U38" s="180"/>
      <c r="V38" s="179">
        <f>V19+(B38-1)*7</f>
        <v>42673</v>
      </c>
      <c r="W38" s="179"/>
      <c r="X38" s="179"/>
      <c r="Y38" s="179"/>
      <c r="Z38" s="179"/>
      <c r="AA38" s="179"/>
      <c r="AB38" s="181"/>
      <c r="AC38" s="37"/>
      <c r="AD38" s="41"/>
      <c r="AE38" s="41"/>
      <c r="AF38" s="41"/>
    </row>
    <row r="39" spans="1:32" ht="16" customHeight="1" x14ac:dyDescent="0.2">
      <c r="A39" s="37"/>
      <c r="B39" s="174"/>
      <c r="C39" s="315"/>
      <c r="D39" s="182" t="s">
        <v>99</v>
      </c>
      <c r="E39" s="183"/>
      <c r="F39" s="183"/>
      <c r="G39" s="184"/>
      <c r="H39" s="185" t="s">
        <v>101</v>
      </c>
      <c r="I39" s="183"/>
      <c r="J39" s="183"/>
      <c r="K39" s="184"/>
      <c r="L39" s="183" t="s">
        <v>100</v>
      </c>
      <c r="M39" s="183"/>
      <c r="N39" s="183"/>
      <c r="O39" s="182" t="s">
        <v>99</v>
      </c>
      <c r="P39" s="183"/>
      <c r="Q39" s="183"/>
      <c r="R39" s="183"/>
      <c r="S39" s="185" t="s">
        <v>100</v>
      </c>
      <c r="T39" s="183"/>
      <c r="U39" s="186"/>
      <c r="V39" s="183" t="s">
        <v>99</v>
      </c>
      <c r="W39" s="183"/>
      <c r="X39" s="183"/>
      <c r="Y39" s="183"/>
      <c r="Z39" s="185" t="s">
        <v>100</v>
      </c>
      <c r="AA39" s="183"/>
      <c r="AB39" s="187"/>
      <c r="AC39" s="37"/>
      <c r="AD39" s="41"/>
      <c r="AE39" s="41"/>
      <c r="AF39" s="41"/>
    </row>
    <row r="40" spans="1:32" ht="16" customHeight="1" x14ac:dyDescent="0.2">
      <c r="A40" s="37"/>
      <c r="B40" s="174"/>
      <c r="C40" s="315"/>
      <c r="D40" s="188" t="s">
        <v>110</v>
      </c>
      <c r="E40" s="189"/>
      <c r="F40" s="189"/>
      <c r="G40" s="190"/>
      <c r="H40" s="43" t="s">
        <v>113</v>
      </c>
      <c r="I40" s="43" t="s">
        <v>114</v>
      </c>
      <c r="J40" s="71" t="s">
        <v>115</v>
      </c>
      <c r="K40" s="53" t="s">
        <v>116</v>
      </c>
      <c r="L40" s="77" t="s">
        <v>96</v>
      </c>
      <c r="M40" s="191"/>
      <c r="N40" s="191"/>
      <c r="O40" s="188" t="s">
        <v>110</v>
      </c>
      <c r="P40" s="189"/>
      <c r="Q40" s="189"/>
      <c r="R40" s="189"/>
      <c r="S40" s="77" t="s">
        <v>96</v>
      </c>
      <c r="T40" s="191"/>
      <c r="U40" s="192"/>
      <c r="V40" s="189" t="s">
        <v>110</v>
      </c>
      <c r="W40" s="189"/>
      <c r="X40" s="189"/>
      <c r="Y40" s="189"/>
      <c r="Z40" s="77" t="s">
        <v>96</v>
      </c>
      <c r="AA40" s="191"/>
      <c r="AB40" s="193"/>
      <c r="AC40" s="37"/>
      <c r="AD40" s="41"/>
      <c r="AE40" s="41"/>
      <c r="AF40" s="41"/>
    </row>
    <row r="41" spans="1:32" ht="16" customHeight="1" x14ac:dyDescent="0.2">
      <c r="A41" s="37"/>
      <c r="B41" s="174"/>
      <c r="C41" s="315"/>
      <c r="D41" s="82" t="s">
        <v>53</v>
      </c>
      <c r="E41" s="41" t="s">
        <v>54</v>
      </c>
      <c r="F41" s="41" t="s">
        <v>90</v>
      </c>
      <c r="G41" s="53" t="s">
        <v>55</v>
      </c>
      <c r="H41" s="43" t="s">
        <v>102</v>
      </c>
      <c r="I41" s="43">
        <f>F42</f>
        <v>4.5076195987654322E-3</v>
      </c>
      <c r="J41" s="71"/>
      <c r="K41" s="52" t="str">
        <f>IF(J41="","",ABS(I41-J41))</f>
        <v/>
      </c>
      <c r="L41" s="78" t="s">
        <v>97</v>
      </c>
      <c r="M41" s="164"/>
      <c r="N41" s="164"/>
      <c r="O41" s="82" t="s">
        <v>54</v>
      </c>
      <c r="P41" s="41" t="s">
        <v>65</v>
      </c>
      <c r="Q41" s="67" t="s">
        <v>117</v>
      </c>
      <c r="R41" s="41" t="s">
        <v>116</v>
      </c>
      <c r="S41" s="78" t="s">
        <v>97</v>
      </c>
      <c r="T41" s="164"/>
      <c r="U41" s="168"/>
      <c r="V41" s="41" t="s">
        <v>54</v>
      </c>
      <c r="W41" s="41" t="s">
        <v>65</v>
      </c>
      <c r="X41" s="67" t="s">
        <v>117</v>
      </c>
      <c r="Y41" s="41" t="s">
        <v>116</v>
      </c>
      <c r="Z41" s="78" t="s">
        <v>97</v>
      </c>
      <c r="AA41" s="164"/>
      <c r="AB41" s="169"/>
      <c r="AC41" s="37"/>
      <c r="AD41" s="41"/>
      <c r="AE41" s="41"/>
      <c r="AF41" s="41"/>
    </row>
    <row r="42" spans="1:32" ht="16" customHeight="1" x14ac:dyDescent="0.2">
      <c r="A42" s="37"/>
      <c r="B42" s="174"/>
      <c r="C42" s="315"/>
      <c r="D42" s="82" t="s">
        <v>59</v>
      </c>
      <c r="E42" s="41">
        <v>1600</v>
      </c>
      <c r="F42" s="43">
        <f>L16</f>
        <v>4.5076195987654322E-3</v>
      </c>
      <c r="G42" s="53" t="s">
        <v>57</v>
      </c>
      <c r="H42" s="43" t="s">
        <v>103</v>
      </c>
      <c r="I42" s="43">
        <f>F42</f>
        <v>4.5076195987654322E-3</v>
      </c>
      <c r="J42" s="71"/>
      <c r="K42" s="52" t="str">
        <f t="shared" ref="K42:K45" si="6">IF(J42="","",ABS(I42-J42))</f>
        <v/>
      </c>
      <c r="L42" s="78" t="s">
        <v>98</v>
      </c>
      <c r="M42" s="164"/>
      <c r="N42" s="164"/>
      <c r="O42" s="82" t="s">
        <v>118</v>
      </c>
      <c r="P42" s="43">
        <f>S15</f>
        <v>3.0324074074074073E-3</v>
      </c>
      <c r="Q42" s="71"/>
      <c r="R42" s="52" t="str">
        <f>IF(Q42="","",ABS(P42-Q42))</f>
        <v/>
      </c>
      <c r="S42" s="78" t="s">
        <v>98</v>
      </c>
      <c r="T42" s="164"/>
      <c r="U42" s="168"/>
      <c r="V42" s="41" t="s">
        <v>119</v>
      </c>
      <c r="W42" s="43">
        <f>S17</f>
        <v>3.2523148148148147E-3</v>
      </c>
      <c r="X42" s="71"/>
      <c r="Y42" s="52" t="str">
        <f>IF(X42="","",ABS(W42-X42))</f>
        <v/>
      </c>
      <c r="Z42" s="78" t="s">
        <v>98</v>
      </c>
      <c r="AA42" s="164"/>
      <c r="AB42" s="169"/>
      <c r="AC42" s="37"/>
      <c r="AD42" s="41"/>
      <c r="AE42" s="41"/>
      <c r="AF42" s="41"/>
    </row>
    <row r="43" spans="1:32" ht="16" customHeight="1" x14ac:dyDescent="0.2">
      <c r="A43" s="37"/>
      <c r="B43" s="174"/>
      <c r="C43" s="315"/>
      <c r="D43" s="82" t="s">
        <v>60</v>
      </c>
      <c r="E43" s="41">
        <v>800</v>
      </c>
      <c r="F43" s="43">
        <f>F17</f>
        <v>2.1566358024691359E-3</v>
      </c>
      <c r="G43" s="53" t="s">
        <v>57</v>
      </c>
      <c r="H43" s="43" t="s">
        <v>104</v>
      </c>
      <c r="I43" s="43">
        <f>F43</f>
        <v>2.1566358024691359E-3</v>
      </c>
      <c r="J43" s="71"/>
      <c r="K43" s="52" t="str">
        <f t="shared" si="6"/>
        <v/>
      </c>
      <c r="L43" s="170" t="s">
        <v>112</v>
      </c>
      <c r="M43" s="171"/>
      <c r="N43" s="90"/>
      <c r="O43" s="82" t="s">
        <v>122</v>
      </c>
      <c r="P43" s="43">
        <f>S18</f>
        <v>3.7268518518518519E-3</v>
      </c>
      <c r="Q43" s="71"/>
      <c r="R43" s="52" t="str">
        <f>IF(Q43="","",ABS(P43-Q43))</f>
        <v/>
      </c>
      <c r="S43" s="170" t="s">
        <v>112</v>
      </c>
      <c r="T43" s="171"/>
      <c r="U43" s="83"/>
      <c r="V43" s="166" t="s">
        <v>111</v>
      </c>
      <c r="W43" s="166"/>
      <c r="X43" s="166"/>
      <c r="Y43" s="167"/>
      <c r="Z43" s="170" t="s">
        <v>112</v>
      </c>
      <c r="AA43" s="171"/>
      <c r="AB43" s="80"/>
      <c r="AC43" s="37"/>
      <c r="AD43" s="41"/>
      <c r="AE43" s="41"/>
      <c r="AF43" s="41"/>
    </row>
    <row r="44" spans="1:32" ht="16" customHeight="1" x14ac:dyDescent="0.2">
      <c r="A44" s="37"/>
      <c r="B44" s="174"/>
      <c r="C44" s="315"/>
      <c r="D44" s="165" t="s">
        <v>111</v>
      </c>
      <c r="E44" s="166"/>
      <c r="F44" s="166"/>
      <c r="G44" s="167"/>
      <c r="H44" s="43"/>
      <c r="I44" s="43"/>
      <c r="J44" s="71"/>
      <c r="K44" s="52" t="str">
        <f t="shared" si="6"/>
        <v/>
      </c>
      <c r="L44" s="163" t="s">
        <v>88</v>
      </c>
      <c r="M44" s="164"/>
      <c r="N44" s="164"/>
      <c r="O44" s="82" t="s">
        <v>118</v>
      </c>
      <c r="P44" s="43">
        <f>S15</f>
        <v>3.0324074074074073E-3</v>
      </c>
      <c r="Q44" s="71"/>
      <c r="R44" s="52" t="str">
        <f>IF(Q44="","",ABS(P44-Q44))</f>
        <v/>
      </c>
      <c r="S44" s="163" t="s">
        <v>88</v>
      </c>
      <c r="T44" s="164"/>
      <c r="U44" s="168"/>
      <c r="V44" s="30"/>
      <c r="W44" s="30"/>
      <c r="X44" s="30"/>
      <c r="Y44" s="30"/>
      <c r="Z44" s="163" t="s">
        <v>88</v>
      </c>
      <c r="AA44" s="164"/>
      <c r="AB44" s="169"/>
      <c r="AC44" s="37"/>
      <c r="AD44" s="41"/>
      <c r="AE44" s="41"/>
      <c r="AF44" s="41"/>
    </row>
    <row r="45" spans="1:32" ht="16" customHeight="1" thickBot="1" x14ac:dyDescent="0.25">
      <c r="A45" s="37"/>
      <c r="B45" s="174"/>
      <c r="C45" s="315"/>
      <c r="D45" s="84"/>
      <c r="E45" s="43"/>
      <c r="F45" s="43"/>
      <c r="G45" s="53"/>
      <c r="H45" s="43"/>
      <c r="I45" s="43"/>
      <c r="J45" s="71"/>
      <c r="K45" s="52" t="str">
        <f t="shared" si="6"/>
        <v/>
      </c>
      <c r="L45" s="163"/>
      <c r="M45" s="164"/>
      <c r="N45" s="164"/>
      <c r="O45" s="165" t="s">
        <v>111</v>
      </c>
      <c r="P45" s="166"/>
      <c r="Q45" s="166"/>
      <c r="R45" s="167"/>
      <c r="S45" s="163"/>
      <c r="T45" s="164"/>
      <c r="U45" s="168"/>
      <c r="V45" s="30"/>
      <c r="W45" s="30"/>
      <c r="X45" s="30"/>
      <c r="Y45" s="30"/>
      <c r="Z45" s="163"/>
      <c r="AA45" s="164"/>
      <c r="AB45" s="169"/>
      <c r="AC45" s="37"/>
      <c r="AD45" s="41"/>
      <c r="AE45" s="41"/>
      <c r="AF45" s="41"/>
    </row>
    <row r="46" spans="1:32" ht="16" customHeight="1" x14ac:dyDescent="0.2">
      <c r="A46" s="37"/>
      <c r="B46" s="172">
        <f>B38+1</f>
        <v>4</v>
      </c>
      <c r="C46" s="314"/>
      <c r="D46" s="178">
        <f>D19+(B46-1)*7</f>
        <v>42675</v>
      </c>
      <c r="E46" s="179"/>
      <c r="F46" s="179"/>
      <c r="G46" s="179"/>
      <c r="H46" s="179"/>
      <c r="I46" s="179"/>
      <c r="J46" s="179"/>
      <c r="K46" s="179"/>
      <c r="L46" s="179"/>
      <c r="M46" s="179"/>
      <c r="N46" s="179"/>
      <c r="O46" s="178">
        <f>O19+(B46-1)*7</f>
        <v>42678</v>
      </c>
      <c r="P46" s="179"/>
      <c r="Q46" s="179"/>
      <c r="R46" s="179"/>
      <c r="S46" s="179"/>
      <c r="T46" s="179"/>
      <c r="U46" s="180"/>
      <c r="V46" s="179">
        <f>V19+(B46-1)*7</f>
        <v>42680</v>
      </c>
      <c r="W46" s="179"/>
      <c r="X46" s="179"/>
      <c r="Y46" s="179"/>
      <c r="Z46" s="179"/>
      <c r="AA46" s="179"/>
      <c r="AB46" s="181"/>
      <c r="AC46" s="37"/>
      <c r="AD46" s="41"/>
      <c r="AE46" s="41"/>
      <c r="AF46" s="41"/>
    </row>
    <row r="47" spans="1:32" ht="16" customHeight="1" x14ac:dyDescent="0.2">
      <c r="A47" s="37"/>
      <c r="B47" s="174"/>
      <c r="C47" s="315"/>
      <c r="D47" s="182" t="s">
        <v>99</v>
      </c>
      <c r="E47" s="183"/>
      <c r="F47" s="183"/>
      <c r="G47" s="184"/>
      <c r="H47" s="185" t="s">
        <v>101</v>
      </c>
      <c r="I47" s="183"/>
      <c r="J47" s="183"/>
      <c r="K47" s="184"/>
      <c r="L47" s="183" t="s">
        <v>100</v>
      </c>
      <c r="M47" s="183"/>
      <c r="N47" s="183"/>
      <c r="O47" s="182" t="s">
        <v>99</v>
      </c>
      <c r="P47" s="183"/>
      <c r="Q47" s="183"/>
      <c r="R47" s="183"/>
      <c r="S47" s="185" t="s">
        <v>100</v>
      </c>
      <c r="T47" s="183"/>
      <c r="U47" s="186"/>
      <c r="V47" s="183" t="s">
        <v>99</v>
      </c>
      <c r="W47" s="183"/>
      <c r="X47" s="183"/>
      <c r="Y47" s="183"/>
      <c r="Z47" s="185" t="s">
        <v>100</v>
      </c>
      <c r="AA47" s="183"/>
      <c r="AB47" s="187"/>
      <c r="AC47" s="37"/>
      <c r="AD47" s="41"/>
      <c r="AE47" s="41"/>
      <c r="AF47" s="41"/>
    </row>
    <row r="48" spans="1:32" ht="16" customHeight="1" x14ac:dyDescent="0.2">
      <c r="A48" s="37"/>
      <c r="B48" s="174"/>
      <c r="C48" s="315"/>
      <c r="D48" s="188" t="s">
        <v>110</v>
      </c>
      <c r="E48" s="189"/>
      <c r="F48" s="189"/>
      <c r="G48" s="190"/>
      <c r="H48" s="43" t="s">
        <v>113</v>
      </c>
      <c r="I48" s="43" t="s">
        <v>114</v>
      </c>
      <c r="J48" s="71" t="s">
        <v>115</v>
      </c>
      <c r="K48" s="53" t="s">
        <v>116</v>
      </c>
      <c r="L48" s="77" t="s">
        <v>96</v>
      </c>
      <c r="M48" s="191"/>
      <c r="N48" s="191"/>
      <c r="O48" s="188" t="s">
        <v>110</v>
      </c>
      <c r="P48" s="189"/>
      <c r="Q48" s="189"/>
      <c r="R48" s="189"/>
      <c r="S48" s="77" t="s">
        <v>96</v>
      </c>
      <c r="T48" s="191"/>
      <c r="U48" s="192"/>
      <c r="V48" s="189" t="s">
        <v>110</v>
      </c>
      <c r="W48" s="189"/>
      <c r="X48" s="189"/>
      <c r="Y48" s="189"/>
      <c r="Z48" s="77" t="s">
        <v>96</v>
      </c>
      <c r="AA48" s="191"/>
      <c r="AB48" s="193"/>
      <c r="AC48" s="37"/>
      <c r="AD48" s="41"/>
      <c r="AE48" s="41"/>
      <c r="AF48" s="41"/>
    </row>
    <row r="49" spans="1:32" ht="16" customHeight="1" x14ac:dyDescent="0.2">
      <c r="A49" s="37"/>
      <c r="B49" s="174"/>
      <c r="C49" s="315"/>
      <c r="D49" s="82" t="s">
        <v>53</v>
      </c>
      <c r="E49" s="41" t="s">
        <v>54</v>
      </c>
      <c r="F49" s="41" t="s">
        <v>90</v>
      </c>
      <c r="G49" s="53" t="s">
        <v>55</v>
      </c>
      <c r="H49" s="43" t="s">
        <v>102</v>
      </c>
      <c r="I49" s="43">
        <f>F50</f>
        <v>1.0551697530864197E-3</v>
      </c>
      <c r="J49" s="71"/>
      <c r="K49" s="52" t="str">
        <f>IF(J49="","",ABS(I49-J49))</f>
        <v/>
      </c>
      <c r="L49" s="78" t="s">
        <v>97</v>
      </c>
      <c r="M49" s="164"/>
      <c r="N49" s="164"/>
      <c r="O49" s="82" t="s">
        <v>54</v>
      </c>
      <c r="P49" s="41" t="s">
        <v>65</v>
      </c>
      <c r="Q49" s="67" t="s">
        <v>117</v>
      </c>
      <c r="R49" s="41" t="s">
        <v>116</v>
      </c>
      <c r="S49" s="78" t="s">
        <v>97</v>
      </c>
      <c r="T49" s="164"/>
      <c r="U49" s="168"/>
      <c r="V49" s="41" t="s">
        <v>54</v>
      </c>
      <c r="W49" s="41" t="s">
        <v>65</v>
      </c>
      <c r="X49" s="67" t="s">
        <v>117</v>
      </c>
      <c r="Y49" s="41" t="s">
        <v>116</v>
      </c>
      <c r="Z49" s="78" t="s">
        <v>97</v>
      </c>
      <c r="AA49" s="164"/>
      <c r="AB49" s="169"/>
      <c r="AC49" s="37"/>
      <c r="AD49" s="41"/>
      <c r="AE49" s="41"/>
      <c r="AF49" s="41"/>
    </row>
    <row r="50" spans="1:32" ht="16" customHeight="1" x14ac:dyDescent="0.2">
      <c r="A50" s="37"/>
      <c r="B50" s="174"/>
      <c r="C50" s="315"/>
      <c r="D50" s="82" t="s">
        <v>60</v>
      </c>
      <c r="E50" s="41">
        <v>400</v>
      </c>
      <c r="F50" s="43">
        <f>F15</f>
        <v>1.0551697530864197E-3</v>
      </c>
      <c r="G50" s="53" t="s">
        <v>57</v>
      </c>
      <c r="H50" s="43" t="s">
        <v>103</v>
      </c>
      <c r="I50" s="43">
        <f t="shared" ref="I50:I54" si="7">F51</f>
        <v>1.6116898148148149E-3</v>
      </c>
      <c r="J50" s="71"/>
      <c r="K50" s="52" t="str">
        <f t="shared" ref="K50:K56" si="8">IF(J50="","",ABS(I50-J50))</f>
        <v/>
      </c>
      <c r="L50" s="78" t="s">
        <v>98</v>
      </c>
      <c r="M50" s="164"/>
      <c r="N50" s="164"/>
      <c r="O50" s="82" t="s">
        <v>123</v>
      </c>
      <c r="P50" s="43">
        <f>S16</f>
        <v>3.1481481481481482E-3</v>
      </c>
      <c r="Q50" s="71"/>
      <c r="R50" s="52" t="str">
        <f>IF(Q50="","",ABS(P50-Q50))</f>
        <v/>
      </c>
      <c r="S50" s="78" t="s">
        <v>98</v>
      </c>
      <c r="T50" s="164"/>
      <c r="U50" s="168"/>
      <c r="V50" s="41" t="s">
        <v>121</v>
      </c>
      <c r="W50" s="43">
        <f>S17</f>
        <v>3.2523148148148147E-3</v>
      </c>
      <c r="X50" s="71"/>
      <c r="Y50" s="52" t="str">
        <f>IF(X50="","",ABS(W50-X50))</f>
        <v/>
      </c>
      <c r="Z50" s="78" t="s">
        <v>98</v>
      </c>
      <c r="AA50" s="164"/>
      <c r="AB50" s="169"/>
      <c r="AC50" s="37"/>
      <c r="AD50" s="41"/>
      <c r="AE50" s="41"/>
      <c r="AF50" s="41"/>
    </row>
    <row r="51" spans="1:32" ht="16" customHeight="1" x14ac:dyDescent="0.2">
      <c r="A51" s="37"/>
      <c r="B51" s="174"/>
      <c r="C51" s="315"/>
      <c r="D51" s="82" t="s">
        <v>60</v>
      </c>
      <c r="E51" s="41">
        <v>600</v>
      </c>
      <c r="F51" s="43">
        <f>F16</f>
        <v>1.6116898148148149E-3</v>
      </c>
      <c r="G51" s="53" t="s">
        <v>57</v>
      </c>
      <c r="H51" s="43" t="s">
        <v>104</v>
      </c>
      <c r="I51" s="43">
        <f t="shared" si="7"/>
        <v>2.1566358024691359E-3</v>
      </c>
      <c r="J51" s="71"/>
      <c r="K51" s="52" t="str">
        <f t="shared" si="8"/>
        <v/>
      </c>
      <c r="L51" s="170" t="s">
        <v>112</v>
      </c>
      <c r="M51" s="171"/>
      <c r="N51" s="90"/>
      <c r="O51" s="165" t="s">
        <v>111</v>
      </c>
      <c r="P51" s="166"/>
      <c r="Q51" s="166"/>
      <c r="R51" s="167"/>
      <c r="S51" s="170" t="s">
        <v>112</v>
      </c>
      <c r="T51" s="171"/>
      <c r="U51" s="83"/>
      <c r="V51" s="166" t="s">
        <v>111</v>
      </c>
      <c r="W51" s="166"/>
      <c r="X51" s="166"/>
      <c r="Y51" s="167"/>
      <c r="Z51" s="170" t="s">
        <v>112</v>
      </c>
      <c r="AA51" s="171"/>
      <c r="AB51" s="80"/>
      <c r="AC51" s="37"/>
      <c r="AD51" s="41"/>
      <c r="AE51" s="41"/>
      <c r="AF51" s="41"/>
    </row>
    <row r="52" spans="1:32" ht="16" customHeight="1" x14ac:dyDescent="0.2">
      <c r="A52" s="37"/>
      <c r="B52" s="174"/>
      <c r="C52" s="315"/>
      <c r="D52" s="82" t="s">
        <v>60</v>
      </c>
      <c r="E52" s="41">
        <v>800</v>
      </c>
      <c r="F52" s="43">
        <f>F17</f>
        <v>2.1566358024691359E-3</v>
      </c>
      <c r="G52" s="53" t="s">
        <v>57</v>
      </c>
      <c r="H52" s="43" t="s">
        <v>105</v>
      </c>
      <c r="I52" s="43">
        <f t="shared" si="7"/>
        <v>2.1566358024691359E-3</v>
      </c>
      <c r="J52" s="71"/>
      <c r="K52" s="52" t="str">
        <f t="shared" si="8"/>
        <v/>
      </c>
      <c r="L52" s="163" t="s">
        <v>88</v>
      </c>
      <c r="M52" s="164"/>
      <c r="N52" s="164"/>
      <c r="O52" s="82"/>
      <c r="P52" s="41"/>
      <c r="Q52" s="41"/>
      <c r="R52" s="41"/>
      <c r="S52" s="163" t="s">
        <v>88</v>
      </c>
      <c r="T52" s="164"/>
      <c r="U52" s="168"/>
      <c r="V52" s="30"/>
      <c r="W52" s="30"/>
      <c r="X52" s="30"/>
      <c r="Y52" s="30"/>
      <c r="Z52" s="163" t="s">
        <v>88</v>
      </c>
      <c r="AA52" s="164"/>
      <c r="AB52" s="169"/>
      <c r="AC52" s="37"/>
      <c r="AD52" s="41"/>
      <c r="AE52" s="41"/>
      <c r="AF52" s="41"/>
    </row>
    <row r="53" spans="1:32" ht="16" customHeight="1" x14ac:dyDescent="0.2">
      <c r="A53" s="37"/>
      <c r="B53" s="174"/>
      <c r="C53" s="315"/>
      <c r="D53" s="82" t="s">
        <v>60</v>
      </c>
      <c r="E53" s="41">
        <v>800</v>
      </c>
      <c r="F53" s="43">
        <f>F52</f>
        <v>2.1566358024691359E-3</v>
      </c>
      <c r="G53" s="53" t="s">
        <v>57</v>
      </c>
      <c r="H53" s="43" t="s">
        <v>106</v>
      </c>
      <c r="I53" s="43">
        <f t="shared" si="7"/>
        <v>1.6116898148148149E-3</v>
      </c>
      <c r="J53" s="71"/>
      <c r="K53" s="52" t="str">
        <f t="shared" si="8"/>
        <v/>
      </c>
      <c r="L53" s="163"/>
      <c r="M53" s="164"/>
      <c r="N53" s="164"/>
      <c r="O53" s="82"/>
      <c r="P53" s="41"/>
      <c r="Q53" s="41"/>
      <c r="R53" s="41"/>
      <c r="S53" s="163"/>
      <c r="T53" s="164"/>
      <c r="U53" s="168"/>
      <c r="V53" s="30"/>
      <c r="W53" s="30"/>
      <c r="X53" s="30"/>
      <c r="Y53" s="30"/>
      <c r="Z53" s="163"/>
      <c r="AA53" s="164"/>
      <c r="AB53" s="169"/>
      <c r="AC53" s="37"/>
      <c r="AD53" s="41"/>
      <c r="AE53" s="41"/>
      <c r="AF53" s="41"/>
    </row>
    <row r="54" spans="1:32" ht="16" customHeight="1" x14ac:dyDescent="0.2">
      <c r="A54" s="37"/>
      <c r="B54" s="174"/>
      <c r="C54" s="315"/>
      <c r="D54" s="82" t="s">
        <v>60</v>
      </c>
      <c r="E54" s="41">
        <v>600</v>
      </c>
      <c r="F54" s="43">
        <f>F51</f>
        <v>1.6116898148148149E-3</v>
      </c>
      <c r="G54" s="53" t="s">
        <v>57</v>
      </c>
      <c r="H54" s="43" t="s">
        <v>107</v>
      </c>
      <c r="I54" s="43">
        <f t="shared" si="7"/>
        <v>1.0551697530864197E-3</v>
      </c>
      <c r="J54" s="71"/>
      <c r="K54" s="52" t="str">
        <f t="shared" si="8"/>
        <v/>
      </c>
      <c r="L54" s="41"/>
      <c r="M54" s="41"/>
      <c r="N54" s="30"/>
      <c r="O54" s="82"/>
      <c r="P54" s="41"/>
      <c r="Q54" s="41"/>
      <c r="R54" s="41"/>
      <c r="S54" s="50"/>
      <c r="T54" s="41"/>
      <c r="U54" s="85"/>
      <c r="V54" s="30"/>
      <c r="W54" s="30"/>
      <c r="X54" s="30"/>
      <c r="Y54" s="30"/>
      <c r="Z54" s="50"/>
      <c r="AA54" s="41"/>
      <c r="AB54" s="35"/>
      <c r="AC54" s="37"/>
      <c r="AD54" s="41"/>
      <c r="AE54" s="41"/>
      <c r="AF54" s="41"/>
    </row>
    <row r="55" spans="1:32" ht="16" customHeight="1" x14ac:dyDescent="0.2">
      <c r="A55" s="37"/>
      <c r="B55" s="174"/>
      <c r="C55" s="315"/>
      <c r="D55" s="82" t="s">
        <v>60</v>
      </c>
      <c r="E55" s="41">
        <v>400</v>
      </c>
      <c r="F55" s="43">
        <f>F50</f>
        <v>1.0551697530864197E-3</v>
      </c>
      <c r="G55" s="53" t="s">
        <v>57</v>
      </c>
      <c r="H55" s="43"/>
      <c r="I55" s="43"/>
      <c r="J55" s="71"/>
      <c r="K55" s="52" t="str">
        <f t="shared" si="8"/>
        <v/>
      </c>
      <c r="L55" s="41"/>
      <c r="M55" s="41"/>
      <c r="N55" s="41"/>
      <c r="O55" s="82"/>
      <c r="P55" s="41"/>
      <c r="Q55" s="41"/>
      <c r="R55" s="41"/>
      <c r="S55" s="50"/>
      <c r="T55" s="41"/>
      <c r="U55" s="86"/>
      <c r="V55" s="30"/>
      <c r="W55" s="30"/>
      <c r="X55" s="30"/>
      <c r="Y55" s="30"/>
      <c r="Z55" s="50"/>
      <c r="AA55" s="41"/>
      <c r="AB55" s="44"/>
      <c r="AC55" s="37"/>
      <c r="AD55" s="41"/>
      <c r="AE55" s="41"/>
      <c r="AF55" s="41"/>
    </row>
    <row r="56" spans="1:32" ht="16" customHeight="1" thickBot="1" x14ac:dyDescent="0.25">
      <c r="A56" s="37"/>
      <c r="B56" s="198"/>
      <c r="C56" s="316"/>
      <c r="D56" s="165" t="s">
        <v>111</v>
      </c>
      <c r="E56" s="166"/>
      <c r="F56" s="166"/>
      <c r="G56" s="167"/>
      <c r="H56" s="40"/>
      <c r="I56" s="40"/>
      <c r="J56" s="71"/>
      <c r="K56" s="52" t="str">
        <f t="shared" si="8"/>
        <v/>
      </c>
      <c r="L56" s="194"/>
      <c r="M56" s="195"/>
      <c r="N56" s="195"/>
      <c r="O56" s="97"/>
      <c r="P56" s="42"/>
      <c r="Q56" s="42"/>
      <c r="R56" s="42"/>
      <c r="S56" s="194"/>
      <c r="T56" s="195"/>
      <c r="U56" s="196"/>
      <c r="V56" s="34"/>
      <c r="W56" s="34"/>
      <c r="X56" s="34"/>
      <c r="Y56" s="34"/>
      <c r="Z56" s="194"/>
      <c r="AA56" s="195"/>
      <c r="AB56" s="197"/>
      <c r="AC56" s="37"/>
      <c r="AD56" s="41"/>
      <c r="AE56" s="41"/>
      <c r="AF56" s="41"/>
    </row>
    <row r="57" spans="1:32" ht="16" customHeight="1" x14ac:dyDescent="0.2">
      <c r="A57" s="37"/>
      <c r="B57" s="172">
        <f>B46+1</f>
        <v>5</v>
      </c>
      <c r="C57" s="314"/>
      <c r="D57" s="178">
        <f>D19+(B57-1)*7</f>
        <v>42682</v>
      </c>
      <c r="E57" s="179"/>
      <c r="F57" s="179"/>
      <c r="G57" s="179"/>
      <c r="H57" s="179"/>
      <c r="I57" s="179"/>
      <c r="J57" s="179"/>
      <c r="K57" s="179"/>
      <c r="L57" s="179"/>
      <c r="M57" s="179"/>
      <c r="N57" s="179"/>
      <c r="O57" s="178">
        <f>O19+(B57-1)*7</f>
        <v>42685</v>
      </c>
      <c r="P57" s="179"/>
      <c r="Q57" s="179"/>
      <c r="R57" s="179"/>
      <c r="S57" s="179"/>
      <c r="T57" s="179"/>
      <c r="U57" s="180"/>
      <c r="V57" s="179">
        <f>V19+(B57-1)*7</f>
        <v>42687</v>
      </c>
      <c r="W57" s="179"/>
      <c r="X57" s="179"/>
      <c r="Y57" s="179"/>
      <c r="Z57" s="179"/>
      <c r="AA57" s="179"/>
      <c r="AB57" s="181"/>
      <c r="AC57" s="37"/>
      <c r="AD57" s="41"/>
      <c r="AE57" s="41"/>
      <c r="AF57" s="41"/>
    </row>
    <row r="58" spans="1:32" ht="16" customHeight="1" x14ac:dyDescent="0.2">
      <c r="A58" s="37"/>
      <c r="B58" s="174"/>
      <c r="C58" s="315"/>
      <c r="D58" s="182" t="s">
        <v>99</v>
      </c>
      <c r="E58" s="183"/>
      <c r="F58" s="183"/>
      <c r="G58" s="184"/>
      <c r="H58" s="185" t="s">
        <v>101</v>
      </c>
      <c r="I58" s="183"/>
      <c r="J58" s="183"/>
      <c r="K58" s="184"/>
      <c r="L58" s="183" t="s">
        <v>100</v>
      </c>
      <c r="M58" s="183"/>
      <c r="N58" s="183"/>
      <c r="O58" s="182" t="s">
        <v>99</v>
      </c>
      <c r="P58" s="183"/>
      <c r="Q58" s="183"/>
      <c r="R58" s="183"/>
      <c r="S58" s="185" t="s">
        <v>100</v>
      </c>
      <c r="T58" s="183"/>
      <c r="U58" s="186"/>
      <c r="V58" s="183" t="s">
        <v>99</v>
      </c>
      <c r="W58" s="183"/>
      <c r="X58" s="183"/>
      <c r="Y58" s="183"/>
      <c r="Z58" s="185" t="s">
        <v>100</v>
      </c>
      <c r="AA58" s="183"/>
      <c r="AB58" s="187"/>
      <c r="AC58" s="37"/>
      <c r="AD58" s="41"/>
      <c r="AE58" s="41"/>
      <c r="AF58" s="41"/>
    </row>
    <row r="59" spans="1:32" ht="16" customHeight="1" x14ac:dyDescent="0.2">
      <c r="A59" s="37"/>
      <c r="B59" s="174"/>
      <c r="C59" s="315"/>
      <c r="D59" s="188" t="s">
        <v>110</v>
      </c>
      <c r="E59" s="189"/>
      <c r="F59" s="189"/>
      <c r="G59" s="190"/>
      <c r="H59" s="43" t="s">
        <v>113</v>
      </c>
      <c r="I59" s="43" t="s">
        <v>114</v>
      </c>
      <c r="J59" s="71" t="s">
        <v>115</v>
      </c>
      <c r="K59" s="53" t="s">
        <v>116</v>
      </c>
      <c r="L59" s="77" t="s">
        <v>96</v>
      </c>
      <c r="M59" s="191"/>
      <c r="N59" s="191"/>
      <c r="O59" s="188" t="s">
        <v>110</v>
      </c>
      <c r="P59" s="189"/>
      <c r="Q59" s="189"/>
      <c r="R59" s="189"/>
      <c r="S59" s="77" t="s">
        <v>96</v>
      </c>
      <c r="T59" s="191"/>
      <c r="U59" s="192"/>
      <c r="V59" s="189" t="s">
        <v>110</v>
      </c>
      <c r="W59" s="189"/>
      <c r="X59" s="189"/>
      <c r="Y59" s="189"/>
      <c r="Z59" s="77" t="s">
        <v>96</v>
      </c>
      <c r="AA59" s="191"/>
      <c r="AB59" s="193"/>
      <c r="AC59" s="37"/>
      <c r="AD59" s="41"/>
      <c r="AE59" s="41"/>
      <c r="AF59" s="41"/>
    </row>
    <row r="60" spans="1:32" ht="16" customHeight="1" x14ac:dyDescent="0.2">
      <c r="A60" s="37"/>
      <c r="B60" s="174"/>
      <c r="C60" s="315"/>
      <c r="D60" s="82" t="s">
        <v>53</v>
      </c>
      <c r="E60" s="41" t="s">
        <v>54</v>
      </c>
      <c r="F60" s="41" t="s">
        <v>90</v>
      </c>
      <c r="G60" s="53" t="s">
        <v>55</v>
      </c>
      <c r="H60" s="43" t="s">
        <v>102</v>
      </c>
      <c r="I60" s="43">
        <f>F61</f>
        <v>2.7247299382716049E-3</v>
      </c>
      <c r="J60" s="71"/>
      <c r="K60" s="52" t="str">
        <f>IF(J60="","",ABS(I60-J60))</f>
        <v/>
      </c>
      <c r="L60" s="78" t="s">
        <v>97</v>
      </c>
      <c r="M60" s="164"/>
      <c r="N60" s="164"/>
      <c r="O60" s="82" t="s">
        <v>54</v>
      </c>
      <c r="P60" s="41" t="s">
        <v>65</v>
      </c>
      <c r="Q60" s="67" t="s">
        <v>117</v>
      </c>
      <c r="R60" s="41" t="s">
        <v>116</v>
      </c>
      <c r="S60" s="78" t="s">
        <v>97</v>
      </c>
      <c r="T60" s="164"/>
      <c r="U60" s="168"/>
      <c r="V60" s="41" t="s">
        <v>54</v>
      </c>
      <c r="W60" s="41" t="s">
        <v>65</v>
      </c>
      <c r="X60" s="67" t="s">
        <v>117</v>
      </c>
      <c r="Y60" s="41" t="s">
        <v>116</v>
      </c>
      <c r="Z60" s="78" t="s">
        <v>97</v>
      </c>
      <c r="AA60" s="164"/>
      <c r="AB60" s="169"/>
      <c r="AC60" s="37"/>
      <c r="AD60" s="41"/>
      <c r="AE60" s="41"/>
      <c r="AF60" s="41"/>
    </row>
    <row r="61" spans="1:32" ht="16" customHeight="1" x14ac:dyDescent="0.2">
      <c r="A61" s="37"/>
      <c r="B61" s="174"/>
      <c r="C61" s="315"/>
      <c r="D61" s="82" t="s">
        <v>61</v>
      </c>
      <c r="E61" s="41">
        <v>1000</v>
      </c>
      <c r="F61" s="43">
        <f>F18</f>
        <v>2.7247299382716049E-3</v>
      </c>
      <c r="G61" s="53" t="s">
        <v>57</v>
      </c>
      <c r="H61" s="43" t="s">
        <v>103</v>
      </c>
      <c r="I61" s="43">
        <f>F61</f>
        <v>2.7247299382716049E-3</v>
      </c>
      <c r="J61" s="71"/>
      <c r="K61" s="52" t="str">
        <f t="shared" ref="K61:K64" si="9">IF(J61="","",ABS(I61-J61))</f>
        <v/>
      </c>
      <c r="L61" s="78" t="s">
        <v>98</v>
      </c>
      <c r="M61" s="164"/>
      <c r="N61" s="164"/>
      <c r="O61" s="82" t="s">
        <v>120</v>
      </c>
      <c r="P61" s="43">
        <f>S15</f>
        <v>3.0324074074074073E-3</v>
      </c>
      <c r="Q61" s="71"/>
      <c r="R61" s="52" t="str">
        <f>IF(Q61="","",ABS(P61-Q61))</f>
        <v/>
      </c>
      <c r="S61" s="78" t="s">
        <v>98</v>
      </c>
      <c r="T61" s="164"/>
      <c r="U61" s="168"/>
      <c r="V61" s="41" t="s">
        <v>124</v>
      </c>
      <c r="W61" s="43">
        <f>S17</f>
        <v>3.2523148148148147E-3</v>
      </c>
      <c r="X61" s="71"/>
      <c r="Y61" s="52" t="str">
        <f>IF(X61="","",ABS(W61-X61))</f>
        <v/>
      </c>
      <c r="Z61" s="78" t="s">
        <v>98</v>
      </c>
      <c r="AA61" s="164"/>
      <c r="AB61" s="169"/>
      <c r="AC61" s="37"/>
      <c r="AD61" s="41"/>
      <c r="AE61" s="41"/>
      <c r="AF61" s="41"/>
    </row>
    <row r="62" spans="1:32" ht="16" customHeight="1" x14ac:dyDescent="0.2">
      <c r="A62" s="37"/>
      <c r="B62" s="174"/>
      <c r="C62" s="315"/>
      <c r="D62" s="165" t="s">
        <v>111</v>
      </c>
      <c r="E62" s="166"/>
      <c r="F62" s="166"/>
      <c r="G62" s="167"/>
      <c r="H62" s="43" t="s">
        <v>104</v>
      </c>
      <c r="I62" s="43">
        <f>F61</f>
        <v>2.7247299382716049E-3</v>
      </c>
      <c r="J62" s="71"/>
      <c r="K62" s="52" t="str">
        <f t="shared" si="9"/>
        <v/>
      </c>
      <c r="L62" s="170" t="s">
        <v>112</v>
      </c>
      <c r="M62" s="171"/>
      <c r="N62" s="90"/>
      <c r="O62" s="165" t="s">
        <v>111</v>
      </c>
      <c r="P62" s="166"/>
      <c r="Q62" s="166"/>
      <c r="R62" s="167"/>
      <c r="S62" s="170" t="s">
        <v>112</v>
      </c>
      <c r="T62" s="171"/>
      <c r="U62" s="83"/>
      <c r="V62" s="166" t="s">
        <v>111</v>
      </c>
      <c r="W62" s="166"/>
      <c r="X62" s="166"/>
      <c r="Y62" s="167"/>
      <c r="Z62" s="170" t="s">
        <v>112</v>
      </c>
      <c r="AA62" s="171"/>
      <c r="AB62" s="80"/>
      <c r="AC62" s="37"/>
      <c r="AD62" s="41"/>
      <c r="AE62" s="41"/>
      <c r="AF62" s="41"/>
    </row>
    <row r="63" spans="1:32" ht="16" customHeight="1" x14ac:dyDescent="0.2">
      <c r="A63" s="37"/>
      <c r="B63" s="174"/>
      <c r="C63" s="315"/>
      <c r="D63" s="165"/>
      <c r="E63" s="166"/>
      <c r="F63" s="166"/>
      <c r="G63" s="167"/>
      <c r="H63" s="43" t="s">
        <v>105</v>
      </c>
      <c r="I63" s="43">
        <f>F61</f>
        <v>2.7247299382716049E-3</v>
      </c>
      <c r="J63" s="71"/>
      <c r="K63" s="52" t="str">
        <f t="shared" ref="K63" si="10">IF(J63="","",ABS(I63-J63))</f>
        <v/>
      </c>
      <c r="L63" s="163" t="s">
        <v>88</v>
      </c>
      <c r="M63" s="164"/>
      <c r="N63" s="164"/>
      <c r="O63" s="82"/>
      <c r="P63" s="43"/>
      <c r="Q63" s="41"/>
      <c r="R63" s="52"/>
      <c r="S63" s="163" t="s">
        <v>88</v>
      </c>
      <c r="T63" s="164"/>
      <c r="U63" s="168"/>
      <c r="V63" s="30"/>
      <c r="W63" s="30"/>
      <c r="X63" s="30"/>
      <c r="Y63" s="30"/>
      <c r="Z63" s="163" t="s">
        <v>88</v>
      </c>
      <c r="AA63" s="164"/>
      <c r="AB63" s="169"/>
      <c r="AC63" s="37"/>
      <c r="AD63" s="41"/>
      <c r="AE63" s="41"/>
      <c r="AF63" s="41"/>
    </row>
    <row r="64" spans="1:32" ht="16" customHeight="1" thickBot="1" x14ac:dyDescent="0.25">
      <c r="A64" s="37"/>
      <c r="B64" s="174"/>
      <c r="C64" s="315"/>
      <c r="D64" s="84"/>
      <c r="E64" s="43"/>
      <c r="F64" s="43"/>
      <c r="G64" s="53"/>
      <c r="H64" s="43"/>
      <c r="I64" s="43"/>
      <c r="J64" s="71"/>
      <c r="K64" s="52" t="str">
        <f t="shared" si="9"/>
        <v/>
      </c>
      <c r="L64" s="163"/>
      <c r="M64" s="164"/>
      <c r="N64" s="164"/>
      <c r="O64" s="165"/>
      <c r="P64" s="166"/>
      <c r="Q64" s="166"/>
      <c r="R64" s="167"/>
      <c r="S64" s="163"/>
      <c r="T64" s="164"/>
      <c r="U64" s="168"/>
      <c r="V64" s="30"/>
      <c r="W64" s="30"/>
      <c r="X64" s="30"/>
      <c r="Y64" s="30"/>
      <c r="Z64" s="163"/>
      <c r="AA64" s="164"/>
      <c r="AB64" s="169"/>
      <c r="AC64" s="37"/>
      <c r="AD64" s="41"/>
      <c r="AE64" s="41"/>
      <c r="AF64" s="41"/>
    </row>
    <row r="65" spans="1:32" ht="16" customHeight="1" x14ac:dyDescent="0.2">
      <c r="A65" s="37"/>
      <c r="B65" s="172">
        <f>B57+1</f>
        <v>6</v>
      </c>
      <c r="C65" s="314"/>
      <c r="D65" s="178">
        <f>D19+(B65-1)*7</f>
        <v>42689</v>
      </c>
      <c r="E65" s="179"/>
      <c r="F65" s="179"/>
      <c r="G65" s="179"/>
      <c r="H65" s="179"/>
      <c r="I65" s="179"/>
      <c r="J65" s="179"/>
      <c r="K65" s="179"/>
      <c r="L65" s="179"/>
      <c r="M65" s="179"/>
      <c r="N65" s="179"/>
      <c r="O65" s="178">
        <f>O19+(B65-1)*7</f>
        <v>42692</v>
      </c>
      <c r="P65" s="179"/>
      <c r="Q65" s="179"/>
      <c r="R65" s="179"/>
      <c r="S65" s="179"/>
      <c r="T65" s="179"/>
      <c r="U65" s="180"/>
      <c r="V65" s="179">
        <f>V19+(B65-1)*7</f>
        <v>42694</v>
      </c>
      <c r="W65" s="179"/>
      <c r="X65" s="179"/>
      <c r="Y65" s="179"/>
      <c r="Z65" s="179"/>
      <c r="AA65" s="179"/>
      <c r="AB65" s="181"/>
      <c r="AC65" s="37"/>
      <c r="AD65" s="41"/>
      <c r="AE65" s="41"/>
      <c r="AF65" s="41"/>
    </row>
    <row r="66" spans="1:32" ht="16" customHeight="1" x14ac:dyDescent="0.2">
      <c r="A66" s="37"/>
      <c r="B66" s="174"/>
      <c r="C66" s="315"/>
      <c r="D66" s="182" t="s">
        <v>99</v>
      </c>
      <c r="E66" s="183"/>
      <c r="F66" s="183"/>
      <c r="G66" s="184"/>
      <c r="H66" s="185" t="s">
        <v>101</v>
      </c>
      <c r="I66" s="183"/>
      <c r="J66" s="183"/>
      <c r="K66" s="184"/>
      <c r="L66" s="183" t="s">
        <v>100</v>
      </c>
      <c r="M66" s="183"/>
      <c r="N66" s="183"/>
      <c r="O66" s="182" t="s">
        <v>99</v>
      </c>
      <c r="P66" s="183"/>
      <c r="Q66" s="183"/>
      <c r="R66" s="183"/>
      <c r="S66" s="185" t="s">
        <v>100</v>
      </c>
      <c r="T66" s="183"/>
      <c r="U66" s="186"/>
      <c r="V66" s="183" t="s">
        <v>99</v>
      </c>
      <c r="W66" s="183"/>
      <c r="X66" s="183"/>
      <c r="Y66" s="183"/>
      <c r="Z66" s="185" t="s">
        <v>100</v>
      </c>
      <c r="AA66" s="183"/>
      <c r="AB66" s="187"/>
      <c r="AC66" s="37"/>
      <c r="AD66" s="41"/>
      <c r="AE66" s="41"/>
      <c r="AF66" s="41"/>
    </row>
    <row r="67" spans="1:32" ht="16" customHeight="1" x14ac:dyDescent="0.2">
      <c r="A67" s="37"/>
      <c r="B67" s="174"/>
      <c r="C67" s="315"/>
      <c r="D67" s="188" t="s">
        <v>110</v>
      </c>
      <c r="E67" s="189"/>
      <c r="F67" s="189"/>
      <c r="G67" s="190"/>
      <c r="H67" s="43" t="s">
        <v>113</v>
      </c>
      <c r="I67" s="43" t="s">
        <v>114</v>
      </c>
      <c r="J67" s="71" t="s">
        <v>115</v>
      </c>
      <c r="K67" s="53" t="s">
        <v>116</v>
      </c>
      <c r="L67" s="77" t="s">
        <v>96</v>
      </c>
      <c r="M67" s="191"/>
      <c r="N67" s="191"/>
      <c r="O67" s="188" t="s">
        <v>110</v>
      </c>
      <c r="P67" s="189"/>
      <c r="Q67" s="189"/>
      <c r="R67" s="189"/>
      <c r="S67" s="77" t="s">
        <v>96</v>
      </c>
      <c r="T67" s="191"/>
      <c r="U67" s="192"/>
      <c r="V67" s="189" t="s">
        <v>110</v>
      </c>
      <c r="W67" s="189"/>
      <c r="X67" s="189"/>
      <c r="Y67" s="189"/>
      <c r="Z67" s="77" t="s">
        <v>96</v>
      </c>
      <c r="AA67" s="191"/>
      <c r="AB67" s="193"/>
      <c r="AC67" s="37"/>
      <c r="AD67" s="41"/>
      <c r="AE67" s="41"/>
      <c r="AF67" s="41"/>
    </row>
    <row r="68" spans="1:32" ht="16" customHeight="1" x14ac:dyDescent="0.2">
      <c r="A68" s="37"/>
      <c r="B68" s="174"/>
      <c r="C68" s="315"/>
      <c r="D68" s="82" t="s">
        <v>53</v>
      </c>
      <c r="E68" s="41" t="s">
        <v>54</v>
      </c>
      <c r="F68" s="41" t="s">
        <v>90</v>
      </c>
      <c r="G68" s="53" t="s">
        <v>55</v>
      </c>
      <c r="H68" s="43" t="s">
        <v>102</v>
      </c>
      <c r="I68" s="43">
        <f>F69</f>
        <v>4.5076195987654322E-3</v>
      </c>
      <c r="J68" s="71"/>
      <c r="K68" s="52" t="str">
        <f>IF(J68="","",ABS(I68-J68))</f>
        <v/>
      </c>
      <c r="L68" s="78" t="s">
        <v>97</v>
      </c>
      <c r="M68" s="164"/>
      <c r="N68" s="164"/>
      <c r="O68" s="82" t="s">
        <v>54</v>
      </c>
      <c r="P68" s="41" t="s">
        <v>65</v>
      </c>
      <c r="Q68" s="67" t="s">
        <v>117</v>
      </c>
      <c r="R68" s="41" t="s">
        <v>116</v>
      </c>
      <c r="S68" s="78" t="s">
        <v>97</v>
      </c>
      <c r="T68" s="164"/>
      <c r="U68" s="168"/>
      <c r="V68" s="41" t="s">
        <v>54</v>
      </c>
      <c r="W68" s="41" t="s">
        <v>65</v>
      </c>
      <c r="X68" s="67" t="s">
        <v>117</v>
      </c>
      <c r="Y68" s="41" t="s">
        <v>116</v>
      </c>
      <c r="Z68" s="78" t="s">
        <v>97</v>
      </c>
      <c r="AA68" s="164"/>
      <c r="AB68" s="169"/>
      <c r="AC68" s="37"/>
      <c r="AD68" s="41"/>
      <c r="AE68" s="41"/>
      <c r="AF68" s="41"/>
    </row>
    <row r="69" spans="1:32" ht="16" customHeight="1" x14ac:dyDescent="0.2">
      <c r="A69" s="37"/>
      <c r="B69" s="174"/>
      <c r="C69" s="315"/>
      <c r="D69" s="82" t="s">
        <v>60</v>
      </c>
      <c r="E69" s="41">
        <v>1600</v>
      </c>
      <c r="F69" s="43">
        <f>L16</f>
        <v>4.5076195987654322E-3</v>
      </c>
      <c r="G69" s="53" t="s">
        <v>57</v>
      </c>
      <c r="H69" s="43" t="s">
        <v>103</v>
      </c>
      <c r="I69" s="43">
        <f t="shared" ref="I69:I71" si="11">F70</f>
        <v>3.3135609567901229E-3</v>
      </c>
      <c r="J69" s="71"/>
      <c r="K69" s="52" t="str">
        <f t="shared" ref="K69:K74" si="12">IF(J69="","",ABS(I69-J69))</f>
        <v/>
      </c>
      <c r="L69" s="78" t="s">
        <v>98</v>
      </c>
      <c r="M69" s="164"/>
      <c r="N69" s="164"/>
      <c r="O69" s="82" t="s">
        <v>122</v>
      </c>
      <c r="P69" s="43">
        <f>S15</f>
        <v>3.0324074074074073E-3</v>
      </c>
      <c r="Q69" s="71"/>
      <c r="R69" s="52" t="str">
        <f>IF(Q69="","",ABS(P69-Q69))</f>
        <v/>
      </c>
      <c r="S69" s="78" t="s">
        <v>98</v>
      </c>
      <c r="T69" s="164"/>
      <c r="U69" s="168"/>
      <c r="V69" s="41" t="s">
        <v>121</v>
      </c>
      <c r="W69" s="43">
        <f>S17</f>
        <v>3.2523148148148147E-3</v>
      </c>
      <c r="X69" s="71"/>
      <c r="Y69" s="52" t="str">
        <f>IF(X69="","",ABS(W69-X69))</f>
        <v/>
      </c>
      <c r="Z69" s="78" t="s">
        <v>98</v>
      </c>
      <c r="AA69" s="164"/>
      <c r="AB69" s="169"/>
      <c r="AC69" s="37"/>
      <c r="AD69" s="41"/>
      <c r="AE69" s="41"/>
      <c r="AF69" s="41"/>
    </row>
    <row r="70" spans="1:32" ht="16" customHeight="1" x14ac:dyDescent="0.2">
      <c r="A70" s="37"/>
      <c r="B70" s="174"/>
      <c r="C70" s="315"/>
      <c r="D70" s="82" t="s">
        <v>60</v>
      </c>
      <c r="E70" s="41">
        <v>1200</v>
      </c>
      <c r="F70" s="43">
        <f>L15</f>
        <v>3.3135609567901229E-3</v>
      </c>
      <c r="G70" s="53" t="s">
        <v>57</v>
      </c>
      <c r="H70" s="43" t="s">
        <v>104</v>
      </c>
      <c r="I70" s="43">
        <f t="shared" si="11"/>
        <v>2.1566358024691359E-3</v>
      </c>
      <c r="J70" s="71"/>
      <c r="K70" s="52" t="str">
        <f t="shared" si="12"/>
        <v/>
      </c>
      <c r="L70" s="170" t="s">
        <v>112</v>
      </c>
      <c r="M70" s="171"/>
      <c r="N70" s="90"/>
      <c r="O70" s="82" t="s">
        <v>122</v>
      </c>
      <c r="P70" s="43">
        <f>S18</f>
        <v>3.7268518518518519E-3</v>
      </c>
      <c r="Q70" s="71"/>
      <c r="R70" s="52" t="str">
        <f t="shared" ref="R70:R73" si="13">IF(Q70="","",ABS(P70-Q70))</f>
        <v/>
      </c>
      <c r="S70" s="170" t="s">
        <v>112</v>
      </c>
      <c r="T70" s="171"/>
      <c r="U70" s="83"/>
      <c r="V70" s="166" t="s">
        <v>111</v>
      </c>
      <c r="W70" s="166"/>
      <c r="X70" s="166"/>
      <c r="Y70" s="167"/>
      <c r="Z70" s="170" t="s">
        <v>112</v>
      </c>
      <c r="AA70" s="171"/>
      <c r="AB70" s="80"/>
      <c r="AC70" s="37"/>
      <c r="AD70" s="41"/>
      <c r="AE70" s="41"/>
      <c r="AF70" s="41"/>
    </row>
    <row r="71" spans="1:32" ht="16" customHeight="1" x14ac:dyDescent="0.2">
      <c r="A71" s="37"/>
      <c r="B71" s="174"/>
      <c r="C71" s="315"/>
      <c r="D71" s="82" t="s">
        <v>60</v>
      </c>
      <c r="E71" s="41">
        <v>800</v>
      </c>
      <c r="F71" s="43">
        <f>F17</f>
        <v>2.1566358024691359E-3</v>
      </c>
      <c r="G71" s="53" t="s">
        <v>57</v>
      </c>
      <c r="H71" s="43" t="s">
        <v>105</v>
      </c>
      <c r="I71" s="43">
        <f t="shared" si="11"/>
        <v>1.0551697530864197E-3</v>
      </c>
      <c r="J71" s="71"/>
      <c r="K71" s="52" t="str">
        <f t="shared" si="12"/>
        <v/>
      </c>
      <c r="L71" s="163" t="s">
        <v>88</v>
      </c>
      <c r="M71" s="164"/>
      <c r="N71" s="164"/>
      <c r="O71" s="82" t="s">
        <v>122</v>
      </c>
      <c r="P71" s="43">
        <f>P69</f>
        <v>3.0324074074074073E-3</v>
      </c>
      <c r="Q71" s="71"/>
      <c r="R71" s="52" t="str">
        <f t="shared" si="13"/>
        <v/>
      </c>
      <c r="S71" s="163" t="s">
        <v>88</v>
      </c>
      <c r="T71" s="164"/>
      <c r="U71" s="168"/>
      <c r="V71" s="30"/>
      <c r="W71" s="30"/>
      <c r="X71" s="30"/>
      <c r="Y71" s="30"/>
      <c r="Z71" s="163" t="s">
        <v>88</v>
      </c>
      <c r="AA71" s="164"/>
      <c r="AB71" s="169"/>
      <c r="AC71" s="37"/>
      <c r="AD71" s="41"/>
      <c r="AE71" s="41"/>
      <c r="AF71" s="41"/>
    </row>
    <row r="72" spans="1:32" ht="16" customHeight="1" x14ac:dyDescent="0.2">
      <c r="A72" s="37"/>
      <c r="B72" s="174"/>
      <c r="C72" s="315"/>
      <c r="D72" s="82" t="s">
        <v>60</v>
      </c>
      <c r="E72" s="41">
        <v>400</v>
      </c>
      <c r="F72" s="43">
        <f>F15</f>
        <v>1.0551697530864197E-3</v>
      </c>
      <c r="G72" s="53" t="s">
        <v>57</v>
      </c>
      <c r="H72" s="43"/>
      <c r="I72" s="43"/>
      <c r="J72" s="71"/>
      <c r="K72" s="52" t="str">
        <f t="shared" si="12"/>
        <v/>
      </c>
      <c r="L72" s="163"/>
      <c r="M72" s="164"/>
      <c r="N72" s="164"/>
      <c r="O72" s="82" t="s">
        <v>122</v>
      </c>
      <c r="P72" s="43">
        <f>S18</f>
        <v>3.7268518518518519E-3</v>
      </c>
      <c r="Q72" s="71"/>
      <c r="R72" s="52" t="str">
        <f t="shared" si="13"/>
        <v/>
      </c>
      <c r="S72" s="163"/>
      <c r="T72" s="164"/>
      <c r="U72" s="168"/>
      <c r="V72" s="30"/>
      <c r="W72" s="30"/>
      <c r="X72" s="30"/>
      <c r="Y72" s="30"/>
      <c r="Z72" s="163"/>
      <c r="AA72" s="164"/>
      <c r="AB72" s="169"/>
      <c r="AC72" s="37"/>
      <c r="AD72" s="41"/>
      <c r="AE72" s="41"/>
      <c r="AF72" s="41"/>
    </row>
    <row r="73" spans="1:32" ht="16" customHeight="1" x14ac:dyDescent="0.2">
      <c r="A73" s="37"/>
      <c r="B73" s="174"/>
      <c r="C73" s="315"/>
      <c r="D73" s="165" t="s">
        <v>111</v>
      </c>
      <c r="E73" s="166"/>
      <c r="F73" s="166"/>
      <c r="G73" s="167"/>
      <c r="H73" s="43"/>
      <c r="I73" s="43"/>
      <c r="J73" s="71"/>
      <c r="K73" s="52" t="str">
        <f t="shared" si="12"/>
        <v/>
      </c>
      <c r="L73" s="41"/>
      <c r="M73" s="41"/>
      <c r="N73" s="30"/>
      <c r="O73" s="82" t="s">
        <v>122</v>
      </c>
      <c r="P73" s="43">
        <f>P71</f>
        <v>3.0324074074074073E-3</v>
      </c>
      <c r="Q73" s="71"/>
      <c r="R73" s="52" t="str">
        <f t="shared" si="13"/>
        <v/>
      </c>
      <c r="S73" s="50"/>
      <c r="T73" s="41"/>
      <c r="U73" s="85"/>
      <c r="V73" s="30"/>
      <c r="W73" s="30"/>
      <c r="X73" s="30"/>
      <c r="Y73" s="30"/>
      <c r="Z73" s="50"/>
      <c r="AA73" s="41"/>
      <c r="AB73" s="35"/>
      <c r="AC73" s="37"/>
      <c r="AD73" s="41"/>
      <c r="AE73" s="41"/>
      <c r="AF73" s="41"/>
    </row>
    <row r="74" spans="1:32" ht="16" customHeight="1" thickBot="1" x14ac:dyDescent="0.25">
      <c r="A74" s="37"/>
      <c r="B74" s="198"/>
      <c r="C74" s="316"/>
      <c r="D74" s="87"/>
      <c r="E74" s="40"/>
      <c r="F74" s="40"/>
      <c r="G74" s="51"/>
      <c r="H74" s="40"/>
      <c r="I74" s="40"/>
      <c r="J74" s="71"/>
      <c r="K74" s="52" t="str">
        <f t="shared" si="12"/>
        <v/>
      </c>
      <c r="L74" s="194"/>
      <c r="M74" s="195"/>
      <c r="N74" s="195"/>
      <c r="O74" s="165" t="s">
        <v>111</v>
      </c>
      <c r="P74" s="166"/>
      <c r="Q74" s="166"/>
      <c r="R74" s="167"/>
      <c r="S74" s="194"/>
      <c r="T74" s="195"/>
      <c r="U74" s="196"/>
      <c r="V74" s="34"/>
      <c r="W74" s="34"/>
      <c r="X74" s="34"/>
      <c r="Y74" s="34"/>
      <c r="Z74" s="194"/>
      <c r="AA74" s="195"/>
      <c r="AB74" s="197"/>
      <c r="AC74" s="37"/>
      <c r="AD74" s="41"/>
      <c r="AE74" s="41"/>
      <c r="AF74" s="41"/>
    </row>
    <row r="75" spans="1:32" ht="16" customHeight="1" x14ac:dyDescent="0.2">
      <c r="A75" s="37"/>
      <c r="B75" s="172">
        <f>B65+1</f>
        <v>7</v>
      </c>
      <c r="C75" s="314"/>
      <c r="D75" s="178">
        <f>D19+(B75-1)*7</f>
        <v>42696</v>
      </c>
      <c r="E75" s="179"/>
      <c r="F75" s="179"/>
      <c r="G75" s="179"/>
      <c r="H75" s="179"/>
      <c r="I75" s="179"/>
      <c r="J75" s="179"/>
      <c r="K75" s="179"/>
      <c r="L75" s="179"/>
      <c r="M75" s="179"/>
      <c r="N75" s="179"/>
      <c r="O75" s="178">
        <f>O19+(B75-1)*7</f>
        <v>42699</v>
      </c>
      <c r="P75" s="179"/>
      <c r="Q75" s="179"/>
      <c r="R75" s="179"/>
      <c r="S75" s="179"/>
      <c r="T75" s="179"/>
      <c r="U75" s="180"/>
      <c r="V75" s="179">
        <f>V19+(B75-1)*7</f>
        <v>42701</v>
      </c>
      <c r="W75" s="179"/>
      <c r="X75" s="179"/>
      <c r="Y75" s="179"/>
      <c r="Z75" s="179"/>
      <c r="AA75" s="179"/>
      <c r="AB75" s="181"/>
      <c r="AC75" s="37"/>
      <c r="AD75" s="41"/>
      <c r="AE75" s="41"/>
      <c r="AF75" s="41"/>
    </row>
    <row r="76" spans="1:32" ht="16" customHeight="1" x14ac:dyDescent="0.2">
      <c r="A76" s="37"/>
      <c r="B76" s="174"/>
      <c r="C76" s="315"/>
      <c r="D76" s="182" t="s">
        <v>99</v>
      </c>
      <c r="E76" s="183"/>
      <c r="F76" s="183"/>
      <c r="G76" s="184"/>
      <c r="H76" s="185" t="s">
        <v>101</v>
      </c>
      <c r="I76" s="183"/>
      <c r="J76" s="183"/>
      <c r="K76" s="184"/>
      <c r="L76" s="183" t="s">
        <v>100</v>
      </c>
      <c r="M76" s="183"/>
      <c r="N76" s="183"/>
      <c r="O76" s="182" t="s">
        <v>99</v>
      </c>
      <c r="P76" s="183"/>
      <c r="Q76" s="183"/>
      <c r="R76" s="183"/>
      <c r="S76" s="185" t="s">
        <v>100</v>
      </c>
      <c r="T76" s="183"/>
      <c r="U76" s="186"/>
      <c r="V76" s="183" t="s">
        <v>99</v>
      </c>
      <c r="W76" s="183"/>
      <c r="X76" s="183"/>
      <c r="Y76" s="183"/>
      <c r="Z76" s="185" t="s">
        <v>100</v>
      </c>
      <c r="AA76" s="183"/>
      <c r="AB76" s="187"/>
      <c r="AC76" s="37"/>
      <c r="AD76" s="41"/>
      <c r="AE76" s="41"/>
      <c r="AF76" s="41"/>
    </row>
    <row r="77" spans="1:32" ht="16" customHeight="1" x14ac:dyDescent="0.2">
      <c r="A77" s="37"/>
      <c r="B77" s="174"/>
      <c r="C77" s="315"/>
      <c r="D77" s="188" t="s">
        <v>110</v>
      </c>
      <c r="E77" s="189"/>
      <c r="F77" s="189"/>
      <c r="G77" s="190"/>
      <c r="H77" s="43" t="s">
        <v>113</v>
      </c>
      <c r="I77" s="43" t="s">
        <v>114</v>
      </c>
      <c r="J77" s="71" t="s">
        <v>115</v>
      </c>
      <c r="K77" s="53" t="s">
        <v>116</v>
      </c>
      <c r="L77" s="77" t="s">
        <v>96</v>
      </c>
      <c r="M77" s="191"/>
      <c r="N77" s="191"/>
      <c r="O77" s="188" t="s">
        <v>110</v>
      </c>
      <c r="P77" s="189"/>
      <c r="Q77" s="189"/>
      <c r="R77" s="189"/>
      <c r="S77" s="77" t="s">
        <v>96</v>
      </c>
      <c r="T77" s="191"/>
      <c r="U77" s="192"/>
      <c r="V77" s="189" t="s">
        <v>110</v>
      </c>
      <c r="W77" s="189"/>
      <c r="X77" s="189"/>
      <c r="Y77" s="189"/>
      <c r="Z77" s="77" t="s">
        <v>96</v>
      </c>
      <c r="AA77" s="191"/>
      <c r="AB77" s="193"/>
      <c r="AC77" s="37"/>
      <c r="AD77" s="41"/>
      <c r="AE77" s="41"/>
      <c r="AF77" s="41"/>
    </row>
    <row r="78" spans="1:32" ht="16" customHeight="1" x14ac:dyDescent="0.2">
      <c r="A78" s="37"/>
      <c r="B78" s="174"/>
      <c r="C78" s="315"/>
      <c r="D78" s="82" t="s">
        <v>53</v>
      </c>
      <c r="E78" s="41" t="s">
        <v>54</v>
      </c>
      <c r="F78" s="41" t="s">
        <v>90</v>
      </c>
      <c r="G78" s="53" t="s">
        <v>55</v>
      </c>
      <c r="H78" s="43" t="s">
        <v>102</v>
      </c>
      <c r="I78" s="43">
        <f>F79</f>
        <v>1.0551697530864197E-3</v>
      </c>
      <c r="J78" s="71"/>
      <c r="K78" s="52" t="str">
        <f>IF(J78="","",ABS(I78-J78))</f>
        <v/>
      </c>
      <c r="L78" s="78" t="s">
        <v>97</v>
      </c>
      <c r="M78" s="164"/>
      <c r="N78" s="164"/>
      <c r="O78" s="82" t="s">
        <v>54</v>
      </c>
      <c r="P78" s="41" t="s">
        <v>65</v>
      </c>
      <c r="Q78" s="67" t="s">
        <v>117</v>
      </c>
      <c r="R78" s="41" t="s">
        <v>116</v>
      </c>
      <c r="S78" s="78" t="s">
        <v>97</v>
      </c>
      <c r="T78" s="164"/>
      <c r="U78" s="168"/>
      <c r="V78" s="41" t="s">
        <v>54</v>
      </c>
      <c r="W78" s="41" t="s">
        <v>65</v>
      </c>
      <c r="X78" s="67" t="s">
        <v>117</v>
      </c>
      <c r="Y78" s="41" t="s">
        <v>116</v>
      </c>
      <c r="Z78" s="78" t="s">
        <v>97</v>
      </c>
      <c r="AA78" s="164"/>
      <c r="AB78" s="169"/>
      <c r="AC78" s="37"/>
      <c r="AD78" s="41"/>
      <c r="AE78" s="41"/>
      <c r="AF78" s="41"/>
    </row>
    <row r="79" spans="1:32" ht="16" customHeight="1" x14ac:dyDescent="0.2">
      <c r="A79" s="37"/>
      <c r="B79" s="174"/>
      <c r="C79" s="315"/>
      <c r="D79" s="82" t="s">
        <v>62</v>
      </c>
      <c r="E79" s="41">
        <v>400</v>
      </c>
      <c r="F79" s="43">
        <f>F15</f>
        <v>1.0551697530864197E-3</v>
      </c>
      <c r="G79" s="53" t="s">
        <v>127</v>
      </c>
      <c r="H79" s="43" t="s">
        <v>103</v>
      </c>
      <c r="I79" s="43">
        <f>I78</f>
        <v>1.0551697530864197E-3</v>
      </c>
      <c r="J79" s="71"/>
      <c r="K79" s="52" t="str">
        <f t="shared" ref="K79:K87" si="14">IF(J79="","",ABS(I79-J79))</f>
        <v/>
      </c>
      <c r="L79" s="78" t="s">
        <v>98</v>
      </c>
      <c r="M79" s="164"/>
      <c r="N79" s="164"/>
      <c r="O79" s="82" t="s">
        <v>123</v>
      </c>
      <c r="P79" s="43">
        <f>S16</f>
        <v>3.1481481481481482E-3</v>
      </c>
      <c r="Q79" s="71"/>
      <c r="R79" s="52" t="str">
        <f>IF(Q79="","",ABS(P79-Q79))</f>
        <v/>
      </c>
      <c r="S79" s="78" t="s">
        <v>98</v>
      </c>
      <c r="T79" s="164"/>
      <c r="U79" s="168"/>
      <c r="V79" s="41" t="s">
        <v>128</v>
      </c>
      <c r="W79" s="43">
        <f>S17</f>
        <v>3.2523148148148147E-3</v>
      </c>
      <c r="X79" s="71"/>
      <c r="Y79" s="52" t="str">
        <f>IF(X79="","",ABS(W79-X79))</f>
        <v/>
      </c>
      <c r="Z79" s="78" t="s">
        <v>98</v>
      </c>
      <c r="AA79" s="164"/>
      <c r="AB79" s="169"/>
      <c r="AC79" s="37"/>
      <c r="AD79" s="41"/>
      <c r="AE79" s="41"/>
      <c r="AF79" s="41"/>
    </row>
    <row r="80" spans="1:32" ht="16" customHeight="1" x14ac:dyDescent="0.2">
      <c r="A80" s="37"/>
      <c r="B80" s="174"/>
      <c r="C80" s="315"/>
      <c r="D80" s="165" t="s">
        <v>111</v>
      </c>
      <c r="E80" s="166"/>
      <c r="F80" s="166"/>
      <c r="G80" s="167"/>
      <c r="H80" s="43" t="s">
        <v>104</v>
      </c>
      <c r="I80" s="43">
        <f t="shared" ref="I80:I87" si="15">I79</f>
        <v>1.0551697530864197E-3</v>
      </c>
      <c r="J80" s="71"/>
      <c r="K80" s="52" t="str">
        <f t="shared" si="14"/>
        <v/>
      </c>
      <c r="L80" s="170" t="s">
        <v>112</v>
      </c>
      <c r="M80" s="171"/>
      <c r="N80" s="90"/>
      <c r="O80" s="165" t="s">
        <v>111</v>
      </c>
      <c r="P80" s="166"/>
      <c r="Q80" s="166"/>
      <c r="R80" s="167"/>
      <c r="S80" s="170" t="s">
        <v>112</v>
      </c>
      <c r="T80" s="171"/>
      <c r="U80" s="83"/>
      <c r="V80" s="166" t="s">
        <v>111</v>
      </c>
      <c r="W80" s="166"/>
      <c r="X80" s="166"/>
      <c r="Y80" s="167"/>
      <c r="Z80" s="170" t="s">
        <v>112</v>
      </c>
      <c r="AA80" s="171"/>
      <c r="AB80" s="80"/>
      <c r="AC80" s="37"/>
      <c r="AD80" s="41"/>
      <c r="AE80" s="41"/>
      <c r="AF80" s="41"/>
    </row>
    <row r="81" spans="1:32" ht="16" customHeight="1" x14ac:dyDescent="0.2">
      <c r="A81" s="37"/>
      <c r="B81" s="174"/>
      <c r="C81" s="315"/>
      <c r="D81" s="84"/>
      <c r="E81" s="43"/>
      <c r="F81" s="43"/>
      <c r="G81" s="53"/>
      <c r="H81" s="43" t="s">
        <v>105</v>
      </c>
      <c r="I81" s="43">
        <f t="shared" si="15"/>
        <v>1.0551697530864197E-3</v>
      </c>
      <c r="J81" s="71"/>
      <c r="K81" s="52" t="str">
        <f t="shared" si="14"/>
        <v/>
      </c>
      <c r="L81" s="163" t="s">
        <v>88</v>
      </c>
      <c r="M81" s="164"/>
      <c r="N81" s="164"/>
      <c r="O81" s="82"/>
      <c r="P81" s="41"/>
      <c r="Q81" s="41"/>
      <c r="R81" s="41"/>
      <c r="S81" s="163" t="s">
        <v>88</v>
      </c>
      <c r="T81" s="164"/>
      <c r="U81" s="168"/>
      <c r="V81" s="30"/>
      <c r="W81" s="30"/>
      <c r="X81" s="30"/>
      <c r="Y81" s="30"/>
      <c r="Z81" s="163" t="s">
        <v>88</v>
      </c>
      <c r="AA81" s="164"/>
      <c r="AB81" s="169"/>
      <c r="AC81" s="37"/>
      <c r="AD81" s="41"/>
      <c r="AE81" s="41"/>
      <c r="AF81" s="41"/>
    </row>
    <row r="82" spans="1:32" ht="16" customHeight="1" x14ac:dyDescent="0.2">
      <c r="A82" s="37"/>
      <c r="B82" s="174"/>
      <c r="C82" s="315"/>
      <c r="D82" s="84"/>
      <c r="E82" s="43"/>
      <c r="F82" s="43"/>
      <c r="G82" s="53"/>
      <c r="H82" s="43" t="s">
        <v>106</v>
      </c>
      <c r="I82" s="43">
        <f t="shared" si="15"/>
        <v>1.0551697530864197E-3</v>
      </c>
      <c r="J82" s="71"/>
      <c r="K82" s="52" t="str">
        <f t="shared" si="14"/>
        <v/>
      </c>
      <c r="L82" s="163"/>
      <c r="M82" s="164"/>
      <c r="N82" s="164"/>
      <c r="O82" s="82"/>
      <c r="P82" s="41"/>
      <c r="Q82" s="41"/>
      <c r="R82" s="41"/>
      <c r="S82" s="163"/>
      <c r="T82" s="164"/>
      <c r="U82" s="168"/>
      <c r="V82" s="30"/>
      <c r="W82" s="30"/>
      <c r="X82" s="30"/>
      <c r="Y82" s="30"/>
      <c r="Z82" s="163"/>
      <c r="AA82" s="164"/>
      <c r="AB82" s="169"/>
      <c r="AC82" s="37"/>
      <c r="AD82" s="41"/>
      <c r="AE82" s="41"/>
      <c r="AF82" s="41"/>
    </row>
    <row r="83" spans="1:32" ht="16" customHeight="1" x14ac:dyDescent="0.2">
      <c r="A83" s="37"/>
      <c r="B83" s="174"/>
      <c r="C83" s="315"/>
      <c r="D83" s="84"/>
      <c r="E83" s="43"/>
      <c r="F83" s="43"/>
      <c r="G83" s="53"/>
      <c r="H83" s="43" t="s">
        <v>107</v>
      </c>
      <c r="I83" s="43">
        <f t="shared" si="15"/>
        <v>1.0551697530864197E-3</v>
      </c>
      <c r="J83" s="71"/>
      <c r="K83" s="52" t="str">
        <f t="shared" si="14"/>
        <v/>
      </c>
      <c r="L83" s="41"/>
      <c r="M83" s="41"/>
      <c r="N83" s="30"/>
      <c r="O83" s="82"/>
      <c r="P83" s="41"/>
      <c r="Q83" s="41"/>
      <c r="R83" s="41"/>
      <c r="S83" s="50"/>
      <c r="T83" s="41"/>
      <c r="U83" s="85"/>
      <c r="V83" s="30"/>
      <c r="W83" s="30"/>
      <c r="X83" s="30"/>
      <c r="Y83" s="30"/>
      <c r="Z83" s="50"/>
      <c r="AA83" s="41"/>
      <c r="AB83" s="35"/>
      <c r="AC83" s="37"/>
      <c r="AD83" s="41"/>
      <c r="AE83" s="41"/>
      <c r="AF83" s="41"/>
    </row>
    <row r="84" spans="1:32" ht="16" customHeight="1" x14ac:dyDescent="0.2">
      <c r="A84" s="37"/>
      <c r="B84" s="174"/>
      <c r="C84" s="315"/>
      <c r="D84" s="84"/>
      <c r="E84" s="43"/>
      <c r="F84" s="43"/>
      <c r="G84" s="53"/>
      <c r="H84" s="43" t="s">
        <v>108</v>
      </c>
      <c r="I84" s="43">
        <f t="shared" si="15"/>
        <v>1.0551697530864197E-3</v>
      </c>
      <c r="J84" s="71"/>
      <c r="K84" s="52" t="str">
        <f t="shared" si="14"/>
        <v/>
      </c>
      <c r="L84" s="41"/>
      <c r="M84" s="41"/>
      <c r="N84" s="41"/>
      <c r="O84" s="82"/>
      <c r="P84" s="41"/>
      <c r="Q84" s="41"/>
      <c r="R84" s="41"/>
      <c r="S84" s="50"/>
      <c r="T84" s="41"/>
      <c r="U84" s="86"/>
      <c r="V84" s="30"/>
      <c r="W84" s="30"/>
      <c r="X84" s="30"/>
      <c r="Y84" s="30"/>
      <c r="Z84" s="50"/>
      <c r="AA84" s="41"/>
      <c r="AB84" s="44"/>
      <c r="AC84" s="37"/>
      <c r="AD84" s="41"/>
      <c r="AE84" s="41"/>
      <c r="AF84" s="41"/>
    </row>
    <row r="85" spans="1:32" ht="16" customHeight="1" x14ac:dyDescent="0.2">
      <c r="A85" s="37"/>
      <c r="B85" s="174"/>
      <c r="C85" s="315"/>
      <c r="D85" s="84"/>
      <c r="E85" s="43"/>
      <c r="F85" s="43"/>
      <c r="G85" s="53"/>
      <c r="H85" s="43" t="s">
        <v>109</v>
      </c>
      <c r="I85" s="43">
        <f t="shared" si="15"/>
        <v>1.0551697530864197E-3</v>
      </c>
      <c r="J85" s="71"/>
      <c r="K85" s="52" t="str">
        <f t="shared" si="14"/>
        <v/>
      </c>
      <c r="L85" s="41"/>
      <c r="M85" s="41"/>
      <c r="N85" s="30"/>
      <c r="O85" s="82"/>
      <c r="P85" s="41"/>
      <c r="Q85" s="41"/>
      <c r="R85" s="41"/>
      <c r="S85" s="50"/>
      <c r="T85" s="41"/>
      <c r="U85" s="85"/>
      <c r="V85" s="30"/>
      <c r="W85" s="30"/>
      <c r="X85" s="30"/>
      <c r="Y85" s="30"/>
      <c r="Z85" s="50"/>
      <c r="AA85" s="41"/>
      <c r="AB85" s="35"/>
      <c r="AC85" s="37"/>
      <c r="AD85" s="41"/>
      <c r="AE85" s="41"/>
      <c r="AF85" s="41"/>
    </row>
    <row r="86" spans="1:32" ht="16" customHeight="1" x14ac:dyDescent="0.2">
      <c r="A86" s="37"/>
      <c r="B86" s="174"/>
      <c r="C86" s="315"/>
      <c r="D86" s="84"/>
      <c r="E86" s="43"/>
      <c r="F86" s="43"/>
      <c r="G86" s="53"/>
      <c r="H86" s="43" t="s">
        <v>125</v>
      </c>
      <c r="I86" s="43">
        <f t="shared" si="15"/>
        <v>1.0551697530864197E-3</v>
      </c>
      <c r="J86" s="71"/>
      <c r="K86" s="52" t="str">
        <f t="shared" si="14"/>
        <v/>
      </c>
      <c r="L86" s="41"/>
      <c r="M86" s="41"/>
      <c r="N86" s="41"/>
      <c r="O86" s="82"/>
      <c r="P86" s="41"/>
      <c r="Q86" s="41"/>
      <c r="R86" s="41"/>
      <c r="S86" s="50"/>
      <c r="T86" s="41"/>
      <c r="U86" s="86"/>
      <c r="V86" s="30"/>
      <c r="W86" s="30"/>
      <c r="X86" s="30"/>
      <c r="Y86" s="30"/>
      <c r="Z86" s="50"/>
      <c r="AA86" s="41"/>
      <c r="AB86" s="44"/>
      <c r="AC86" s="37"/>
      <c r="AD86" s="41"/>
      <c r="AE86" s="41"/>
      <c r="AF86" s="41"/>
    </row>
    <row r="87" spans="1:32" ht="16" customHeight="1" thickBot="1" x14ac:dyDescent="0.25">
      <c r="A87" s="37"/>
      <c r="B87" s="198"/>
      <c r="C87" s="316"/>
      <c r="D87" s="87"/>
      <c r="E87" s="40"/>
      <c r="F87" s="40"/>
      <c r="G87" s="51"/>
      <c r="H87" s="40" t="s">
        <v>126</v>
      </c>
      <c r="I87" s="43">
        <f t="shared" si="15"/>
        <v>1.0551697530864197E-3</v>
      </c>
      <c r="J87" s="71"/>
      <c r="K87" s="52" t="str">
        <f t="shared" si="14"/>
        <v/>
      </c>
      <c r="L87" s="194"/>
      <c r="M87" s="195"/>
      <c r="N87" s="195"/>
      <c r="O87" s="97"/>
      <c r="P87" s="42"/>
      <c r="Q87" s="42"/>
      <c r="R87" s="42"/>
      <c r="S87" s="194"/>
      <c r="T87" s="195"/>
      <c r="U87" s="196"/>
      <c r="V87" s="34"/>
      <c r="W87" s="34"/>
      <c r="X87" s="34"/>
      <c r="Y87" s="34"/>
      <c r="Z87" s="194"/>
      <c r="AA87" s="195"/>
      <c r="AB87" s="197"/>
      <c r="AC87" s="37"/>
      <c r="AD87" s="41"/>
      <c r="AE87" s="41"/>
      <c r="AF87" s="41"/>
    </row>
    <row r="88" spans="1:32" ht="16" customHeight="1" x14ac:dyDescent="0.2">
      <c r="A88" s="37"/>
      <c r="B88" s="172">
        <f>B75+1</f>
        <v>8</v>
      </c>
      <c r="C88" s="314"/>
      <c r="D88" s="178">
        <f>D19+(B88-1)*7</f>
        <v>42703</v>
      </c>
      <c r="E88" s="179"/>
      <c r="F88" s="179"/>
      <c r="G88" s="179"/>
      <c r="H88" s="179"/>
      <c r="I88" s="179"/>
      <c r="J88" s="179"/>
      <c r="K88" s="179"/>
      <c r="L88" s="179"/>
      <c r="M88" s="179"/>
      <c r="N88" s="179"/>
      <c r="O88" s="178">
        <f>O19+(B88-1)*7</f>
        <v>42706</v>
      </c>
      <c r="P88" s="179"/>
      <c r="Q88" s="179"/>
      <c r="R88" s="179"/>
      <c r="S88" s="179"/>
      <c r="T88" s="179"/>
      <c r="U88" s="180"/>
      <c r="V88" s="179">
        <f>V19+(B88-1)*7</f>
        <v>42708</v>
      </c>
      <c r="W88" s="179"/>
      <c r="X88" s="179"/>
      <c r="Y88" s="179"/>
      <c r="Z88" s="179"/>
      <c r="AA88" s="179"/>
      <c r="AB88" s="181"/>
      <c r="AC88" s="37"/>
      <c r="AD88" s="41"/>
      <c r="AE88" s="41"/>
      <c r="AF88" s="41"/>
    </row>
    <row r="89" spans="1:32" ht="16" customHeight="1" x14ac:dyDescent="0.2">
      <c r="A89" s="37"/>
      <c r="B89" s="174"/>
      <c r="C89" s="315"/>
      <c r="D89" s="182" t="s">
        <v>99</v>
      </c>
      <c r="E89" s="183"/>
      <c r="F89" s="183"/>
      <c r="G89" s="184"/>
      <c r="H89" s="185" t="s">
        <v>101</v>
      </c>
      <c r="I89" s="183"/>
      <c r="J89" s="183"/>
      <c r="K89" s="184"/>
      <c r="L89" s="183" t="s">
        <v>100</v>
      </c>
      <c r="M89" s="183"/>
      <c r="N89" s="183"/>
      <c r="O89" s="182" t="s">
        <v>99</v>
      </c>
      <c r="P89" s="183"/>
      <c r="Q89" s="183"/>
      <c r="R89" s="183"/>
      <c r="S89" s="185" t="s">
        <v>100</v>
      </c>
      <c r="T89" s="183"/>
      <c r="U89" s="186"/>
      <c r="V89" s="183" t="s">
        <v>99</v>
      </c>
      <c r="W89" s="183"/>
      <c r="X89" s="183"/>
      <c r="Y89" s="183"/>
      <c r="Z89" s="185" t="s">
        <v>100</v>
      </c>
      <c r="AA89" s="183"/>
      <c r="AB89" s="187"/>
      <c r="AC89" s="37"/>
      <c r="AD89" s="41"/>
      <c r="AE89" s="41"/>
      <c r="AF89" s="41"/>
    </row>
    <row r="90" spans="1:32" ht="16" customHeight="1" x14ac:dyDescent="0.2">
      <c r="A90" s="37"/>
      <c r="B90" s="174"/>
      <c r="C90" s="315"/>
      <c r="D90" s="188" t="s">
        <v>110</v>
      </c>
      <c r="E90" s="189"/>
      <c r="F90" s="189"/>
      <c r="G90" s="190"/>
      <c r="H90" s="43" t="s">
        <v>113</v>
      </c>
      <c r="I90" s="43" t="s">
        <v>114</v>
      </c>
      <c r="J90" s="71" t="s">
        <v>115</v>
      </c>
      <c r="K90" s="53" t="s">
        <v>116</v>
      </c>
      <c r="L90" s="77" t="s">
        <v>96</v>
      </c>
      <c r="M90" s="191"/>
      <c r="N90" s="191"/>
      <c r="O90" s="188" t="s">
        <v>110</v>
      </c>
      <c r="P90" s="189"/>
      <c r="Q90" s="189"/>
      <c r="R90" s="189"/>
      <c r="S90" s="77" t="s">
        <v>96</v>
      </c>
      <c r="T90" s="191"/>
      <c r="U90" s="192"/>
      <c r="V90" s="189" t="s">
        <v>110</v>
      </c>
      <c r="W90" s="189"/>
      <c r="X90" s="189"/>
      <c r="Y90" s="189"/>
      <c r="Z90" s="77" t="s">
        <v>96</v>
      </c>
      <c r="AA90" s="191"/>
      <c r="AB90" s="193"/>
      <c r="AC90" s="37"/>
      <c r="AD90" s="41"/>
      <c r="AE90" s="41"/>
      <c r="AF90" s="41"/>
    </row>
    <row r="91" spans="1:32" ht="16" customHeight="1" x14ac:dyDescent="0.2">
      <c r="A91" s="37"/>
      <c r="B91" s="174"/>
      <c r="C91" s="315"/>
      <c r="D91" s="82" t="s">
        <v>53</v>
      </c>
      <c r="E91" s="41" t="s">
        <v>54</v>
      </c>
      <c r="F91" s="41" t="s">
        <v>90</v>
      </c>
      <c r="G91" s="53" t="s">
        <v>55</v>
      </c>
      <c r="H91" s="43" t="s">
        <v>102</v>
      </c>
      <c r="I91" s="43">
        <f>F92</f>
        <v>2.1566358024691359E-3</v>
      </c>
      <c r="J91" s="71"/>
      <c r="K91" s="52" t="str">
        <f>IF(J91="","",ABS(I91-J91))</f>
        <v/>
      </c>
      <c r="L91" s="78" t="s">
        <v>97</v>
      </c>
      <c r="M91" s="164"/>
      <c r="N91" s="164"/>
      <c r="O91" s="82" t="s">
        <v>54</v>
      </c>
      <c r="P91" s="41" t="s">
        <v>65</v>
      </c>
      <c r="Q91" s="67" t="s">
        <v>117</v>
      </c>
      <c r="R91" s="41" t="s">
        <v>116</v>
      </c>
      <c r="S91" s="78" t="s">
        <v>97</v>
      </c>
      <c r="T91" s="164"/>
      <c r="U91" s="168"/>
      <c r="V91" s="41" t="s">
        <v>54</v>
      </c>
      <c r="W91" s="41" t="s">
        <v>65</v>
      </c>
      <c r="X91" s="67" t="s">
        <v>117</v>
      </c>
      <c r="Y91" s="41" t="s">
        <v>116</v>
      </c>
      <c r="Z91" s="78" t="s">
        <v>97</v>
      </c>
      <c r="AA91" s="164"/>
      <c r="AB91" s="169"/>
      <c r="AC91" s="37"/>
      <c r="AD91" s="41"/>
      <c r="AE91" s="41"/>
      <c r="AF91" s="41"/>
    </row>
    <row r="92" spans="1:32" ht="16" customHeight="1" x14ac:dyDescent="0.2">
      <c r="A92" s="37"/>
      <c r="B92" s="174"/>
      <c r="C92" s="315"/>
      <c r="D92" s="82" t="s">
        <v>63</v>
      </c>
      <c r="E92" s="41">
        <v>800</v>
      </c>
      <c r="F92" s="43">
        <f>F17</f>
        <v>2.1566358024691359E-3</v>
      </c>
      <c r="G92" s="53" t="s">
        <v>127</v>
      </c>
      <c r="H92" s="43" t="s">
        <v>103</v>
      </c>
      <c r="I92" s="43">
        <f>I91</f>
        <v>2.1566358024691359E-3</v>
      </c>
      <c r="J92" s="71"/>
      <c r="K92" s="52" t="str">
        <f t="shared" ref="K92:K96" si="16">IF(J92="","",ABS(I92-J92))</f>
        <v/>
      </c>
      <c r="L92" s="78" t="s">
        <v>98</v>
      </c>
      <c r="M92" s="164"/>
      <c r="N92" s="164"/>
      <c r="O92" s="82" t="s">
        <v>118</v>
      </c>
      <c r="P92" s="43">
        <f>S15</f>
        <v>3.0324074074074073E-3</v>
      </c>
      <c r="Q92" s="71"/>
      <c r="R92" s="52" t="str">
        <f>IF(Q92="","",ABS(P92-Q92))</f>
        <v/>
      </c>
      <c r="S92" s="78" t="s">
        <v>98</v>
      </c>
      <c r="T92" s="164"/>
      <c r="U92" s="168"/>
      <c r="V92" s="41" t="s">
        <v>124</v>
      </c>
      <c r="W92" s="43">
        <f>S17</f>
        <v>3.2523148148148147E-3</v>
      </c>
      <c r="X92" s="71"/>
      <c r="Y92" s="52" t="str">
        <f>IF(X92="","",ABS(W92-X92))</f>
        <v/>
      </c>
      <c r="Z92" s="78" t="s">
        <v>98</v>
      </c>
      <c r="AA92" s="164"/>
      <c r="AB92" s="169"/>
      <c r="AC92" s="37"/>
      <c r="AD92" s="41"/>
      <c r="AE92" s="41"/>
      <c r="AF92" s="41"/>
    </row>
    <row r="93" spans="1:32" ht="16" customHeight="1" x14ac:dyDescent="0.2">
      <c r="A93" s="37"/>
      <c r="B93" s="174"/>
      <c r="C93" s="315"/>
      <c r="D93" s="165" t="s">
        <v>111</v>
      </c>
      <c r="E93" s="166"/>
      <c r="F93" s="166"/>
      <c r="G93" s="167"/>
      <c r="H93" s="43" t="s">
        <v>104</v>
      </c>
      <c r="I93" s="43">
        <f t="shared" ref="I93:I96" si="17">I92</f>
        <v>2.1566358024691359E-3</v>
      </c>
      <c r="J93" s="71"/>
      <c r="K93" s="52" t="str">
        <f t="shared" si="16"/>
        <v/>
      </c>
      <c r="L93" s="170" t="s">
        <v>112</v>
      </c>
      <c r="M93" s="171"/>
      <c r="N93" s="90"/>
      <c r="O93" s="82" t="s">
        <v>122</v>
      </c>
      <c r="P93" s="43">
        <f>S18</f>
        <v>3.7268518518518519E-3</v>
      </c>
      <c r="Q93" s="71"/>
      <c r="R93" s="52" t="str">
        <f t="shared" ref="R93:R94" si="18">IF(Q93="","",ABS(P93-Q93))</f>
        <v/>
      </c>
      <c r="S93" s="170" t="s">
        <v>112</v>
      </c>
      <c r="T93" s="171"/>
      <c r="U93" s="83"/>
      <c r="V93" s="166" t="s">
        <v>111</v>
      </c>
      <c r="W93" s="166"/>
      <c r="X93" s="166"/>
      <c r="Y93" s="167"/>
      <c r="Z93" s="170" t="s">
        <v>112</v>
      </c>
      <c r="AA93" s="171"/>
      <c r="AB93" s="80"/>
      <c r="AC93" s="37"/>
      <c r="AD93" s="41"/>
      <c r="AE93" s="41"/>
      <c r="AF93" s="41"/>
    </row>
    <row r="94" spans="1:32" ht="16" customHeight="1" x14ac:dyDescent="0.2">
      <c r="A94" s="37"/>
      <c r="B94" s="174"/>
      <c r="C94" s="315"/>
      <c r="D94" s="82"/>
      <c r="E94" s="41"/>
      <c r="F94" s="43"/>
      <c r="G94" s="53"/>
      <c r="H94" s="43" t="s">
        <v>105</v>
      </c>
      <c r="I94" s="43">
        <f t="shared" si="17"/>
        <v>2.1566358024691359E-3</v>
      </c>
      <c r="J94" s="71"/>
      <c r="K94" s="52" t="str">
        <f t="shared" si="16"/>
        <v/>
      </c>
      <c r="L94" s="163" t="s">
        <v>88</v>
      </c>
      <c r="M94" s="164"/>
      <c r="N94" s="164"/>
      <c r="O94" s="82" t="s">
        <v>118</v>
      </c>
      <c r="P94" s="43">
        <f>S15</f>
        <v>3.0324074074074073E-3</v>
      </c>
      <c r="Q94" s="71"/>
      <c r="R94" s="52" t="str">
        <f t="shared" si="18"/>
        <v/>
      </c>
      <c r="S94" s="163" t="s">
        <v>88</v>
      </c>
      <c r="T94" s="164"/>
      <c r="U94" s="168"/>
      <c r="V94" s="30"/>
      <c r="W94" s="30"/>
      <c r="X94" s="30"/>
      <c r="Y94" s="30"/>
      <c r="Z94" s="163" t="s">
        <v>88</v>
      </c>
      <c r="AA94" s="164"/>
      <c r="AB94" s="169"/>
      <c r="AC94" s="37"/>
      <c r="AD94" s="41"/>
      <c r="AE94" s="41"/>
      <c r="AF94" s="41"/>
    </row>
    <row r="95" spans="1:32" ht="16" customHeight="1" x14ac:dyDescent="0.2">
      <c r="A95" s="37"/>
      <c r="B95" s="174"/>
      <c r="C95" s="315"/>
      <c r="D95" s="82"/>
      <c r="E95" s="41"/>
      <c r="F95" s="43"/>
      <c r="G95" s="53"/>
      <c r="H95" s="43" t="s">
        <v>106</v>
      </c>
      <c r="I95" s="43">
        <f t="shared" si="17"/>
        <v>2.1566358024691359E-3</v>
      </c>
      <c r="J95" s="71"/>
      <c r="K95" s="52" t="str">
        <f t="shared" si="16"/>
        <v/>
      </c>
      <c r="L95" s="163"/>
      <c r="M95" s="164"/>
      <c r="N95" s="164"/>
      <c r="O95" s="165" t="s">
        <v>111</v>
      </c>
      <c r="P95" s="166"/>
      <c r="Q95" s="166"/>
      <c r="R95" s="167"/>
      <c r="S95" s="163"/>
      <c r="T95" s="164"/>
      <c r="U95" s="168"/>
      <c r="V95" s="30"/>
      <c r="W95" s="30"/>
      <c r="X95" s="30"/>
      <c r="Y95" s="30"/>
      <c r="Z95" s="163"/>
      <c r="AA95" s="164"/>
      <c r="AB95" s="169"/>
      <c r="AC95" s="37"/>
      <c r="AD95" s="41"/>
      <c r="AE95" s="41"/>
      <c r="AF95" s="41"/>
    </row>
    <row r="96" spans="1:32" ht="16" customHeight="1" thickBot="1" x14ac:dyDescent="0.25">
      <c r="A96" s="37"/>
      <c r="B96" s="174"/>
      <c r="C96" s="315"/>
      <c r="D96" s="82"/>
      <c r="E96" s="41"/>
      <c r="F96" s="43"/>
      <c r="G96" s="53"/>
      <c r="H96" s="43" t="s">
        <v>107</v>
      </c>
      <c r="I96" s="43">
        <f t="shared" si="17"/>
        <v>2.1566358024691359E-3</v>
      </c>
      <c r="J96" s="71"/>
      <c r="K96" s="52" t="str">
        <f t="shared" si="16"/>
        <v/>
      </c>
      <c r="L96" s="41"/>
      <c r="M96" s="41"/>
      <c r="N96" s="30"/>
      <c r="O96" s="82"/>
      <c r="P96" s="41"/>
      <c r="Q96" s="41"/>
      <c r="R96" s="41"/>
      <c r="S96" s="50"/>
      <c r="T96" s="41"/>
      <c r="U96" s="85"/>
      <c r="V96" s="30"/>
      <c r="W96" s="30"/>
      <c r="X96" s="30"/>
      <c r="Y96" s="30"/>
      <c r="Z96" s="50"/>
      <c r="AA96" s="41"/>
      <c r="AB96" s="35"/>
      <c r="AC96" s="37"/>
      <c r="AD96" s="41"/>
      <c r="AE96" s="41"/>
      <c r="AF96" s="41"/>
    </row>
    <row r="97" spans="1:32" ht="16" customHeight="1" x14ac:dyDescent="0.2">
      <c r="A97" s="37"/>
      <c r="B97" s="172">
        <f>B88+1</f>
        <v>9</v>
      </c>
      <c r="C97" s="314"/>
      <c r="D97" s="178">
        <f>D19+(B97-1)*7</f>
        <v>42710</v>
      </c>
      <c r="E97" s="179"/>
      <c r="F97" s="179"/>
      <c r="G97" s="179"/>
      <c r="H97" s="179"/>
      <c r="I97" s="179"/>
      <c r="J97" s="179"/>
      <c r="K97" s="179"/>
      <c r="L97" s="179"/>
      <c r="M97" s="179"/>
      <c r="N97" s="179"/>
      <c r="O97" s="178">
        <f>O19+(B97-1)*7</f>
        <v>42713</v>
      </c>
      <c r="P97" s="179"/>
      <c r="Q97" s="179"/>
      <c r="R97" s="179"/>
      <c r="S97" s="179"/>
      <c r="T97" s="179"/>
      <c r="U97" s="180"/>
      <c r="V97" s="179">
        <f>V19+(B97-1)*7</f>
        <v>42715</v>
      </c>
      <c r="W97" s="179"/>
      <c r="X97" s="179"/>
      <c r="Y97" s="179"/>
      <c r="Z97" s="179"/>
      <c r="AA97" s="179"/>
      <c r="AB97" s="181"/>
      <c r="AC97" s="37"/>
      <c r="AD97" s="41"/>
      <c r="AE97" s="41"/>
      <c r="AF97" s="41"/>
    </row>
    <row r="98" spans="1:32" ht="16" customHeight="1" x14ac:dyDescent="0.2">
      <c r="A98" s="37"/>
      <c r="B98" s="174"/>
      <c r="C98" s="315"/>
      <c r="D98" s="182" t="s">
        <v>99</v>
      </c>
      <c r="E98" s="183"/>
      <c r="F98" s="183"/>
      <c r="G98" s="184"/>
      <c r="H98" s="185" t="s">
        <v>101</v>
      </c>
      <c r="I98" s="183"/>
      <c r="J98" s="183"/>
      <c r="K98" s="184"/>
      <c r="L98" s="183" t="s">
        <v>100</v>
      </c>
      <c r="M98" s="183"/>
      <c r="N98" s="183"/>
      <c r="O98" s="182" t="s">
        <v>99</v>
      </c>
      <c r="P98" s="183"/>
      <c r="Q98" s="183"/>
      <c r="R98" s="183"/>
      <c r="S98" s="185" t="s">
        <v>100</v>
      </c>
      <c r="T98" s="183"/>
      <c r="U98" s="186"/>
      <c r="V98" s="183" t="s">
        <v>99</v>
      </c>
      <c r="W98" s="183"/>
      <c r="X98" s="183"/>
      <c r="Y98" s="183"/>
      <c r="Z98" s="185" t="s">
        <v>100</v>
      </c>
      <c r="AA98" s="183"/>
      <c r="AB98" s="187"/>
      <c r="AC98" s="37"/>
      <c r="AD98" s="41"/>
      <c r="AE98" s="41"/>
      <c r="AF98" s="41"/>
    </row>
    <row r="99" spans="1:32" ht="16" customHeight="1" x14ac:dyDescent="0.2">
      <c r="A99" s="37"/>
      <c r="B99" s="174"/>
      <c r="C99" s="315"/>
      <c r="D99" s="188" t="s">
        <v>110</v>
      </c>
      <c r="E99" s="189"/>
      <c r="F99" s="189"/>
      <c r="G99" s="190"/>
      <c r="H99" s="43" t="s">
        <v>113</v>
      </c>
      <c r="I99" s="43" t="s">
        <v>114</v>
      </c>
      <c r="J99" s="71" t="s">
        <v>115</v>
      </c>
      <c r="K99" s="53" t="s">
        <v>116</v>
      </c>
      <c r="L99" s="77" t="s">
        <v>96</v>
      </c>
      <c r="M99" s="191"/>
      <c r="N99" s="191"/>
      <c r="O99" s="188" t="s">
        <v>110</v>
      </c>
      <c r="P99" s="189"/>
      <c r="Q99" s="189"/>
      <c r="R99" s="189"/>
      <c r="S99" s="77" t="s">
        <v>96</v>
      </c>
      <c r="T99" s="191"/>
      <c r="U99" s="192"/>
      <c r="V99" s="189" t="s">
        <v>110</v>
      </c>
      <c r="W99" s="189"/>
      <c r="X99" s="189"/>
      <c r="Y99" s="189"/>
      <c r="Z99" s="77" t="s">
        <v>96</v>
      </c>
      <c r="AA99" s="191"/>
      <c r="AB99" s="193"/>
      <c r="AC99" s="37"/>
      <c r="AD99" s="41"/>
      <c r="AE99" s="41"/>
      <c r="AF99" s="41"/>
    </row>
    <row r="100" spans="1:32" ht="16" customHeight="1" x14ac:dyDescent="0.2">
      <c r="A100" s="37"/>
      <c r="B100" s="174"/>
      <c r="C100" s="315"/>
      <c r="D100" s="82" t="s">
        <v>53</v>
      </c>
      <c r="E100" s="41" t="s">
        <v>54</v>
      </c>
      <c r="F100" s="41" t="s">
        <v>90</v>
      </c>
      <c r="G100" s="53" t="s">
        <v>55</v>
      </c>
      <c r="H100" s="43" t="s">
        <v>102</v>
      </c>
      <c r="I100" s="43">
        <f>F101</f>
        <v>3.3135609567901229E-3</v>
      </c>
      <c r="J100" s="71"/>
      <c r="K100" s="52" t="str">
        <f>IF(J100="","",ABS(I100-J100))</f>
        <v/>
      </c>
      <c r="L100" s="78" t="s">
        <v>97</v>
      </c>
      <c r="M100" s="164"/>
      <c r="N100" s="164"/>
      <c r="O100" s="82" t="s">
        <v>54</v>
      </c>
      <c r="P100" s="41" t="s">
        <v>65</v>
      </c>
      <c r="Q100" s="67" t="s">
        <v>117</v>
      </c>
      <c r="R100" s="41" t="s">
        <v>116</v>
      </c>
      <c r="S100" s="78" t="s">
        <v>97</v>
      </c>
      <c r="T100" s="164"/>
      <c r="U100" s="168"/>
      <c r="V100" s="41" t="s">
        <v>54</v>
      </c>
      <c r="W100" s="41" t="s">
        <v>65</v>
      </c>
      <c r="X100" s="67" t="s">
        <v>117</v>
      </c>
      <c r="Y100" s="41" t="s">
        <v>116</v>
      </c>
      <c r="Z100" s="78" t="s">
        <v>97</v>
      </c>
      <c r="AA100" s="164"/>
      <c r="AB100" s="169"/>
      <c r="AC100" s="37"/>
      <c r="AD100" s="41"/>
      <c r="AE100" s="41"/>
      <c r="AF100" s="41"/>
    </row>
    <row r="101" spans="1:32" ht="16" customHeight="1" x14ac:dyDescent="0.2">
      <c r="A101" s="37"/>
      <c r="B101" s="174"/>
      <c r="C101" s="315"/>
      <c r="D101" s="82" t="s">
        <v>61</v>
      </c>
      <c r="E101" s="41">
        <v>1200</v>
      </c>
      <c r="F101" s="43">
        <f>L15</f>
        <v>3.3135609567901229E-3</v>
      </c>
      <c r="G101" s="53" t="s">
        <v>57</v>
      </c>
      <c r="H101" s="43" t="s">
        <v>103</v>
      </c>
      <c r="I101" s="43">
        <f>F101</f>
        <v>3.3135609567901229E-3</v>
      </c>
      <c r="J101" s="71"/>
      <c r="K101" s="52" t="str">
        <f t="shared" ref="K101:K104" si="19">IF(J101="","",ABS(I101-J101))</f>
        <v/>
      </c>
      <c r="L101" s="78" t="s">
        <v>98</v>
      </c>
      <c r="M101" s="164"/>
      <c r="N101" s="164"/>
      <c r="O101" s="82" t="s">
        <v>120</v>
      </c>
      <c r="P101" s="43">
        <f>S15</f>
        <v>3.0324074074074073E-3</v>
      </c>
      <c r="Q101" s="71"/>
      <c r="R101" s="52" t="str">
        <f>IF(Q101="","",ABS(P101-Q101))</f>
        <v/>
      </c>
      <c r="S101" s="78" t="s">
        <v>98</v>
      </c>
      <c r="T101" s="164"/>
      <c r="U101" s="168"/>
      <c r="V101" s="41" t="s">
        <v>124</v>
      </c>
      <c r="W101" s="43">
        <f>S17</f>
        <v>3.2523148148148147E-3</v>
      </c>
      <c r="X101" s="71"/>
      <c r="Y101" s="52" t="str">
        <f>IF(X101="","",ABS(W101-X101))</f>
        <v/>
      </c>
      <c r="Z101" s="78" t="s">
        <v>98</v>
      </c>
      <c r="AA101" s="164"/>
      <c r="AB101" s="169"/>
      <c r="AC101" s="37"/>
      <c r="AD101" s="41"/>
      <c r="AE101" s="41"/>
      <c r="AF101" s="41"/>
    </row>
    <row r="102" spans="1:32" ht="16" customHeight="1" x14ac:dyDescent="0.2">
      <c r="A102" s="37"/>
      <c r="B102" s="174"/>
      <c r="C102" s="315"/>
      <c r="D102" s="165" t="s">
        <v>111</v>
      </c>
      <c r="E102" s="166"/>
      <c r="F102" s="166"/>
      <c r="G102" s="167"/>
      <c r="H102" s="43" t="s">
        <v>104</v>
      </c>
      <c r="I102" s="43">
        <f>F101</f>
        <v>3.3135609567901229E-3</v>
      </c>
      <c r="J102" s="71"/>
      <c r="K102" s="52" t="str">
        <f t="shared" si="19"/>
        <v/>
      </c>
      <c r="L102" s="170" t="s">
        <v>112</v>
      </c>
      <c r="M102" s="171"/>
      <c r="N102" s="90"/>
      <c r="O102" s="165" t="s">
        <v>111</v>
      </c>
      <c r="P102" s="166"/>
      <c r="Q102" s="166"/>
      <c r="R102" s="167"/>
      <c r="S102" s="170" t="s">
        <v>112</v>
      </c>
      <c r="T102" s="171"/>
      <c r="U102" s="83"/>
      <c r="V102" s="166" t="s">
        <v>111</v>
      </c>
      <c r="W102" s="166"/>
      <c r="X102" s="166"/>
      <c r="Y102" s="167"/>
      <c r="Z102" s="170" t="s">
        <v>112</v>
      </c>
      <c r="AA102" s="171"/>
      <c r="AB102" s="80"/>
      <c r="AC102" s="37"/>
      <c r="AD102" s="41"/>
      <c r="AE102" s="41"/>
      <c r="AF102" s="41"/>
    </row>
    <row r="103" spans="1:32" ht="16" customHeight="1" x14ac:dyDescent="0.2">
      <c r="A103" s="37"/>
      <c r="B103" s="174"/>
      <c r="C103" s="315"/>
      <c r="D103" s="165"/>
      <c r="E103" s="166"/>
      <c r="F103" s="166"/>
      <c r="G103" s="167"/>
      <c r="H103" s="43" t="s">
        <v>105</v>
      </c>
      <c r="I103" s="43">
        <f>F101</f>
        <v>3.3135609567901229E-3</v>
      </c>
      <c r="J103" s="71"/>
      <c r="K103" s="52" t="str">
        <f t="shared" si="19"/>
        <v/>
      </c>
      <c r="L103" s="163" t="s">
        <v>88</v>
      </c>
      <c r="M103" s="164"/>
      <c r="N103" s="164"/>
      <c r="O103" s="82"/>
      <c r="P103" s="43"/>
      <c r="Q103" s="41"/>
      <c r="R103" s="52"/>
      <c r="S103" s="163" t="s">
        <v>88</v>
      </c>
      <c r="T103" s="164"/>
      <c r="U103" s="168"/>
      <c r="V103" s="30"/>
      <c r="W103" s="30"/>
      <c r="X103" s="30"/>
      <c r="Y103" s="30"/>
      <c r="Z103" s="163" t="s">
        <v>88</v>
      </c>
      <c r="AA103" s="164"/>
      <c r="AB103" s="169"/>
      <c r="AC103" s="37"/>
      <c r="AD103" s="41"/>
      <c r="AE103" s="41"/>
      <c r="AF103" s="41"/>
    </row>
    <row r="104" spans="1:32" ht="16" customHeight="1" thickBot="1" x14ac:dyDescent="0.25">
      <c r="A104" s="37"/>
      <c r="B104" s="174"/>
      <c r="C104" s="315"/>
      <c r="D104" s="84"/>
      <c r="E104" s="43"/>
      <c r="F104" s="43"/>
      <c r="G104" s="53"/>
      <c r="H104" s="43"/>
      <c r="I104" s="43"/>
      <c r="J104" s="71"/>
      <c r="K104" s="52" t="str">
        <f t="shared" si="19"/>
        <v/>
      </c>
      <c r="L104" s="163"/>
      <c r="M104" s="164"/>
      <c r="N104" s="164"/>
      <c r="O104" s="165"/>
      <c r="P104" s="166"/>
      <c r="Q104" s="166"/>
      <c r="R104" s="167"/>
      <c r="S104" s="163"/>
      <c r="T104" s="164"/>
      <c r="U104" s="168"/>
      <c r="V104" s="30"/>
      <c r="W104" s="30"/>
      <c r="X104" s="30"/>
      <c r="Y104" s="30"/>
      <c r="Z104" s="163"/>
      <c r="AA104" s="164"/>
      <c r="AB104" s="169"/>
      <c r="AC104" s="37"/>
      <c r="AD104" s="41"/>
      <c r="AE104" s="41"/>
      <c r="AF104" s="41"/>
    </row>
    <row r="105" spans="1:32" ht="16" customHeight="1" x14ac:dyDescent="0.2">
      <c r="A105" s="37"/>
      <c r="B105" s="172">
        <f>B97+1</f>
        <v>10</v>
      </c>
      <c r="C105" s="314"/>
      <c r="D105" s="178">
        <f>D19+(B105-1)*7</f>
        <v>42717</v>
      </c>
      <c r="E105" s="179"/>
      <c r="F105" s="179"/>
      <c r="G105" s="179"/>
      <c r="H105" s="179"/>
      <c r="I105" s="179"/>
      <c r="J105" s="179"/>
      <c r="K105" s="179"/>
      <c r="L105" s="179"/>
      <c r="M105" s="179"/>
      <c r="N105" s="179"/>
      <c r="O105" s="178">
        <f>O19+(B105-1)*7</f>
        <v>42720</v>
      </c>
      <c r="P105" s="179"/>
      <c r="Q105" s="179"/>
      <c r="R105" s="179"/>
      <c r="S105" s="179"/>
      <c r="T105" s="179"/>
      <c r="U105" s="180"/>
      <c r="V105" s="179">
        <f>V19+(B105-1)*7</f>
        <v>42722</v>
      </c>
      <c r="W105" s="179"/>
      <c r="X105" s="179"/>
      <c r="Y105" s="179"/>
      <c r="Z105" s="179"/>
      <c r="AA105" s="179"/>
      <c r="AB105" s="181"/>
      <c r="AC105" s="37"/>
      <c r="AD105" s="41"/>
      <c r="AE105" s="41"/>
      <c r="AF105" s="41"/>
    </row>
    <row r="106" spans="1:32" ht="16" customHeight="1" x14ac:dyDescent="0.2">
      <c r="A106" s="37"/>
      <c r="B106" s="174"/>
      <c r="C106" s="315"/>
      <c r="D106" s="182" t="s">
        <v>99</v>
      </c>
      <c r="E106" s="183"/>
      <c r="F106" s="183"/>
      <c r="G106" s="184"/>
      <c r="H106" s="185" t="s">
        <v>101</v>
      </c>
      <c r="I106" s="183"/>
      <c r="J106" s="183"/>
      <c r="K106" s="184"/>
      <c r="L106" s="183" t="s">
        <v>100</v>
      </c>
      <c r="M106" s="183"/>
      <c r="N106" s="183"/>
      <c r="O106" s="182" t="s">
        <v>99</v>
      </c>
      <c r="P106" s="183"/>
      <c r="Q106" s="183"/>
      <c r="R106" s="183"/>
      <c r="S106" s="185" t="s">
        <v>100</v>
      </c>
      <c r="T106" s="183"/>
      <c r="U106" s="186"/>
      <c r="V106" s="183" t="s">
        <v>99</v>
      </c>
      <c r="W106" s="183"/>
      <c r="X106" s="183"/>
      <c r="Y106" s="183"/>
      <c r="Z106" s="185" t="s">
        <v>100</v>
      </c>
      <c r="AA106" s="183"/>
      <c r="AB106" s="187"/>
      <c r="AC106" s="37"/>
      <c r="AD106" s="41"/>
      <c r="AE106" s="41"/>
      <c r="AF106" s="41"/>
    </row>
    <row r="107" spans="1:32" ht="16" customHeight="1" x14ac:dyDescent="0.2">
      <c r="A107" s="37"/>
      <c r="B107" s="174"/>
      <c r="C107" s="315"/>
      <c r="D107" s="188" t="s">
        <v>110</v>
      </c>
      <c r="E107" s="189"/>
      <c r="F107" s="189"/>
      <c r="G107" s="190"/>
      <c r="H107" s="43" t="s">
        <v>113</v>
      </c>
      <c r="I107" s="43" t="s">
        <v>114</v>
      </c>
      <c r="J107" s="71" t="s">
        <v>115</v>
      </c>
      <c r="K107" s="53" t="s">
        <v>116</v>
      </c>
      <c r="L107" s="77" t="s">
        <v>96</v>
      </c>
      <c r="M107" s="191"/>
      <c r="N107" s="191"/>
      <c r="O107" s="188" t="s">
        <v>110</v>
      </c>
      <c r="P107" s="189"/>
      <c r="Q107" s="189"/>
      <c r="R107" s="189"/>
      <c r="S107" s="77" t="s">
        <v>96</v>
      </c>
      <c r="T107" s="191"/>
      <c r="U107" s="192"/>
      <c r="V107" s="189" t="s">
        <v>110</v>
      </c>
      <c r="W107" s="189"/>
      <c r="X107" s="189"/>
      <c r="Y107" s="189"/>
      <c r="Z107" s="77" t="s">
        <v>96</v>
      </c>
      <c r="AA107" s="191"/>
      <c r="AB107" s="193"/>
      <c r="AC107" s="37"/>
      <c r="AD107" s="41"/>
      <c r="AE107" s="41"/>
      <c r="AF107" s="41"/>
    </row>
    <row r="108" spans="1:32" ht="16" customHeight="1" x14ac:dyDescent="0.2">
      <c r="A108" s="37"/>
      <c r="B108" s="174"/>
      <c r="C108" s="315"/>
      <c r="D108" s="82" t="s">
        <v>53</v>
      </c>
      <c r="E108" s="41" t="s">
        <v>54</v>
      </c>
      <c r="F108" s="41" t="s">
        <v>90</v>
      </c>
      <c r="G108" s="53" t="s">
        <v>55</v>
      </c>
      <c r="H108" s="43" t="s">
        <v>102</v>
      </c>
      <c r="I108" s="43">
        <f>F109</f>
        <v>2.7247299382716049E-3</v>
      </c>
      <c r="J108" s="71"/>
      <c r="K108" s="52" t="str">
        <f>IF(J108="","",ABS(I108-J108))</f>
        <v/>
      </c>
      <c r="L108" s="78" t="s">
        <v>97</v>
      </c>
      <c r="M108" s="164"/>
      <c r="N108" s="164"/>
      <c r="O108" s="82" t="s">
        <v>54</v>
      </c>
      <c r="P108" s="41" t="s">
        <v>65</v>
      </c>
      <c r="Q108" s="67" t="s">
        <v>117</v>
      </c>
      <c r="R108" s="41" t="s">
        <v>116</v>
      </c>
      <c r="S108" s="78" t="s">
        <v>97</v>
      </c>
      <c r="T108" s="164"/>
      <c r="U108" s="168"/>
      <c r="V108" s="41" t="s">
        <v>54</v>
      </c>
      <c r="W108" s="41" t="s">
        <v>65</v>
      </c>
      <c r="X108" s="67" t="s">
        <v>117</v>
      </c>
      <c r="Y108" s="41" t="s">
        <v>116</v>
      </c>
      <c r="Z108" s="78" t="s">
        <v>97</v>
      </c>
      <c r="AA108" s="164"/>
      <c r="AB108" s="169"/>
      <c r="AC108" s="37"/>
      <c r="AD108" s="41"/>
      <c r="AE108" s="41"/>
      <c r="AF108" s="41"/>
    </row>
    <row r="109" spans="1:32" ht="16" customHeight="1" x14ac:dyDescent="0.2">
      <c r="A109" s="37"/>
      <c r="B109" s="174"/>
      <c r="C109" s="315"/>
      <c r="D109" s="82" t="s">
        <v>58</v>
      </c>
      <c r="E109" s="41">
        <v>1000</v>
      </c>
      <c r="F109" s="43">
        <f>F18</f>
        <v>2.7247299382716049E-3</v>
      </c>
      <c r="G109" s="53" t="s">
        <v>57</v>
      </c>
      <c r="H109" s="43" t="s">
        <v>103</v>
      </c>
      <c r="I109" s="43">
        <f>I108</f>
        <v>2.7247299382716049E-3</v>
      </c>
      <c r="J109" s="71"/>
      <c r="K109" s="52" t="str">
        <f t="shared" ref="K109:K114" si="20">IF(J109="","",ABS(I109-J109))</f>
        <v/>
      </c>
      <c r="L109" s="78" t="s">
        <v>98</v>
      </c>
      <c r="M109" s="164"/>
      <c r="N109" s="164"/>
      <c r="O109" s="82" t="s">
        <v>118</v>
      </c>
      <c r="P109" s="43">
        <f>S15</f>
        <v>3.0324074074074073E-3</v>
      </c>
      <c r="Q109" s="71"/>
      <c r="R109" s="52" t="str">
        <f>IF(Q109="","",ABS(P109-Q109))</f>
        <v/>
      </c>
      <c r="S109" s="78" t="s">
        <v>98</v>
      </c>
      <c r="T109" s="164"/>
      <c r="U109" s="168"/>
      <c r="V109" s="41" t="s">
        <v>121</v>
      </c>
      <c r="W109" s="43">
        <f>S17</f>
        <v>3.2523148148148147E-3</v>
      </c>
      <c r="X109" s="71"/>
      <c r="Y109" s="52" t="str">
        <f>IF(X109="","",ABS(W109-X109))</f>
        <v/>
      </c>
      <c r="Z109" s="78" t="s">
        <v>98</v>
      </c>
      <c r="AA109" s="164"/>
      <c r="AB109" s="169"/>
      <c r="AC109" s="37"/>
      <c r="AD109" s="41"/>
      <c r="AE109" s="41"/>
      <c r="AF109" s="41"/>
    </row>
    <row r="110" spans="1:32" ht="16" customHeight="1" x14ac:dyDescent="0.2">
      <c r="A110" s="37"/>
      <c r="B110" s="174"/>
      <c r="C110" s="315"/>
      <c r="D110" s="165" t="s">
        <v>111</v>
      </c>
      <c r="E110" s="166"/>
      <c r="F110" s="166"/>
      <c r="G110" s="167"/>
      <c r="H110" s="43" t="s">
        <v>104</v>
      </c>
      <c r="I110" s="43">
        <f t="shared" ref="I110:I112" si="21">I109</f>
        <v>2.7247299382716049E-3</v>
      </c>
      <c r="J110" s="71"/>
      <c r="K110" s="52" t="str">
        <f t="shared" si="20"/>
        <v/>
      </c>
      <c r="L110" s="170" t="s">
        <v>112</v>
      </c>
      <c r="M110" s="171"/>
      <c r="N110" s="90"/>
      <c r="O110" s="82" t="s">
        <v>122</v>
      </c>
      <c r="P110" s="43">
        <f>S18</f>
        <v>3.7268518518518519E-3</v>
      </c>
      <c r="Q110" s="71"/>
      <c r="R110" s="52" t="str">
        <f t="shared" ref="R110:R113" si="22">IF(Q110="","",ABS(P110-Q110))</f>
        <v/>
      </c>
      <c r="S110" s="170" t="s">
        <v>112</v>
      </c>
      <c r="T110" s="171"/>
      <c r="U110" s="83"/>
      <c r="V110" s="166" t="s">
        <v>111</v>
      </c>
      <c r="W110" s="166"/>
      <c r="X110" s="166"/>
      <c r="Y110" s="167"/>
      <c r="Z110" s="170" t="s">
        <v>112</v>
      </c>
      <c r="AA110" s="171"/>
      <c r="AB110" s="80"/>
      <c r="AC110" s="37"/>
      <c r="AD110" s="41"/>
      <c r="AE110" s="41"/>
      <c r="AF110" s="41"/>
    </row>
    <row r="111" spans="1:32" ht="16" customHeight="1" x14ac:dyDescent="0.2">
      <c r="A111" s="37"/>
      <c r="B111" s="174"/>
      <c r="C111" s="315"/>
      <c r="D111" s="82"/>
      <c r="E111" s="41"/>
      <c r="F111" s="43"/>
      <c r="G111" s="53"/>
      <c r="H111" s="43" t="s">
        <v>105</v>
      </c>
      <c r="I111" s="43">
        <f t="shared" si="21"/>
        <v>2.7247299382716049E-3</v>
      </c>
      <c r="J111" s="71"/>
      <c r="K111" s="52" t="str">
        <f t="shared" si="20"/>
        <v/>
      </c>
      <c r="L111" s="163" t="s">
        <v>88</v>
      </c>
      <c r="M111" s="164"/>
      <c r="N111" s="164"/>
      <c r="O111" s="82" t="s">
        <v>122</v>
      </c>
      <c r="P111" s="43">
        <f>P109</f>
        <v>3.0324074074074073E-3</v>
      </c>
      <c r="Q111" s="71"/>
      <c r="R111" s="52" t="str">
        <f t="shared" si="22"/>
        <v/>
      </c>
      <c r="S111" s="163" t="s">
        <v>88</v>
      </c>
      <c r="T111" s="164"/>
      <c r="U111" s="168"/>
      <c r="V111" s="30"/>
      <c r="W111" s="30"/>
      <c r="X111" s="30"/>
      <c r="Y111" s="30"/>
      <c r="Z111" s="163" t="s">
        <v>88</v>
      </c>
      <c r="AA111" s="164"/>
      <c r="AB111" s="169"/>
      <c r="AC111" s="37"/>
      <c r="AD111" s="41"/>
      <c r="AE111" s="41"/>
      <c r="AF111" s="41"/>
    </row>
    <row r="112" spans="1:32" ht="16" customHeight="1" x14ac:dyDescent="0.2">
      <c r="A112" s="37"/>
      <c r="B112" s="174"/>
      <c r="C112" s="315"/>
      <c r="D112" s="82"/>
      <c r="E112" s="41"/>
      <c r="F112" s="43"/>
      <c r="G112" s="53"/>
      <c r="H112" s="43" t="s">
        <v>106</v>
      </c>
      <c r="I112" s="43">
        <f t="shared" si="21"/>
        <v>2.7247299382716049E-3</v>
      </c>
      <c r="J112" s="71"/>
      <c r="K112" s="52" t="str">
        <f t="shared" ref="K112" si="23">IF(J112="","",ABS(I112-J112))</f>
        <v/>
      </c>
      <c r="L112" s="163"/>
      <c r="M112" s="164"/>
      <c r="N112" s="164"/>
      <c r="O112" s="82" t="s">
        <v>122</v>
      </c>
      <c r="P112" s="43">
        <f>S18</f>
        <v>3.7268518518518519E-3</v>
      </c>
      <c r="Q112" s="71"/>
      <c r="R112" s="52" t="str">
        <f t="shared" si="22"/>
        <v/>
      </c>
      <c r="S112" s="163"/>
      <c r="T112" s="164"/>
      <c r="U112" s="168"/>
      <c r="V112" s="30"/>
      <c r="W112" s="30"/>
      <c r="X112" s="30"/>
      <c r="Y112" s="30"/>
      <c r="Z112" s="163"/>
      <c r="AA112" s="164"/>
      <c r="AB112" s="169"/>
      <c r="AC112" s="37"/>
      <c r="AD112" s="41"/>
      <c r="AE112" s="41"/>
      <c r="AF112" s="41"/>
    </row>
    <row r="113" spans="1:32" ht="16" customHeight="1" x14ac:dyDescent="0.2">
      <c r="A113" s="37"/>
      <c r="B113" s="174"/>
      <c r="C113" s="315"/>
      <c r="D113" s="165"/>
      <c r="E113" s="166"/>
      <c r="F113" s="166"/>
      <c r="G113" s="167"/>
      <c r="H113" s="43"/>
      <c r="I113" s="43"/>
      <c r="J113" s="71"/>
      <c r="K113" s="52" t="str">
        <f t="shared" si="20"/>
        <v/>
      </c>
      <c r="L113" s="41"/>
      <c r="M113" s="41"/>
      <c r="N113" s="30"/>
      <c r="O113" s="82" t="s">
        <v>118</v>
      </c>
      <c r="P113" s="43">
        <f>P111</f>
        <v>3.0324074074074073E-3</v>
      </c>
      <c r="Q113" s="71"/>
      <c r="R113" s="52" t="str">
        <f t="shared" si="22"/>
        <v/>
      </c>
      <c r="S113" s="50"/>
      <c r="T113" s="41"/>
      <c r="U113" s="85"/>
      <c r="V113" s="30"/>
      <c r="W113" s="30"/>
      <c r="X113" s="30"/>
      <c r="Y113" s="30"/>
      <c r="Z113" s="50"/>
      <c r="AA113" s="41"/>
      <c r="AB113" s="35"/>
      <c r="AC113" s="37"/>
      <c r="AD113" s="41"/>
      <c r="AE113" s="41"/>
      <c r="AF113" s="41"/>
    </row>
    <row r="114" spans="1:32" ht="16" customHeight="1" thickBot="1" x14ac:dyDescent="0.25">
      <c r="A114" s="37"/>
      <c r="B114" s="198"/>
      <c r="C114" s="316"/>
      <c r="D114" s="87"/>
      <c r="E114" s="40"/>
      <c r="F114" s="40"/>
      <c r="G114" s="51"/>
      <c r="H114" s="40"/>
      <c r="I114" s="40"/>
      <c r="J114" s="71"/>
      <c r="K114" s="52" t="str">
        <f t="shared" si="20"/>
        <v/>
      </c>
      <c r="L114" s="194"/>
      <c r="M114" s="195"/>
      <c r="N114" s="195"/>
      <c r="O114" s="165" t="s">
        <v>111</v>
      </c>
      <c r="P114" s="166"/>
      <c r="Q114" s="166"/>
      <c r="R114" s="167"/>
      <c r="S114" s="194"/>
      <c r="T114" s="195"/>
      <c r="U114" s="196"/>
      <c r="V114" s="34"/>
      <c r="W114" s="34"/>
      <c r="X114" s="34"/>
      <c r="Y114" s="34"/>
      <c r="Z114" s="194"/>
      <c r="AA114" s="195"/>
      <c r="AB114" s="197"/>
      <c r="AC114" s="37"/>
      <c r="AD114" s="41"/>
      <c r="AE114" s="41"/>
      <c r="AF114" s="41"/>
    </row>
    <row r="115" spans="1:32" ht="16" customHeight="1" x14ac:dyDescent="0.2">
      <c r="A115" s="37"/>
      <c r="B115" s="172">
        <f>B105+1</f>
        <v>11</v>
      </c>
      <c r="C115" s="314"/>
      <c r="D115" s="178">
        <f>D19+(B115-1)*7</f>
        <v>42724</v>
      </c>
      <c r="E115" s="179"/>
      <c r="F115" s="179"/>
      <c r="G115" s="179"/>
      <c r="H115" s="179"/>
      <c r="I115" s="179"/>
      <c r="J115" s="179"/>
      <c r="K115" s="179"/>
      <c r="L115" s="179"/>
      <c r="M115" s="179"/>
      <c r="N115" s="179"/>
      <c r="O115" s="178">
        <f>O19+(B115-1)*7</f>
        <v>42727</v>
      </c>
      <c r="P115" s="179"/>
      <c r="Q115" s="179"/>
      <c r="R115" s="179"/>
      <c r="S115" s="179"/>
      <c r="T115" s="179"/>
      <c r="U115" s="180"/>
      <c r="V115" s="179">
        <f>V19+(B115-1)*7</f>
        <v>42729</v>
      </c>
      <c r="W115" s="179"/>
      <c r="X115" s="179"/>
      <c r="Y115" s="179"/>
      <c r="Z115" s="179"/>
      <c r="AA115" s="179"/>
      <c r="AB115" s="181"/>
      <c r="AC115" s="37"/>
      <c r="AD115" s="41"/>
      <c r="AE115" s="41"/>
      <c r="AF115" s="41"/>
    </row>
    <row r="116" spans="1:32" ht="16" customHeight="1" x14ac:dyDescent="0.2">
      <c r="A116" s="37"/>
      <c r="B116" s="174"/>
      <c r="C116" s="315"/>
      <c r="D116" s="182" t="s">
        <v>99</v>
      </c>
      <c r="E116" s="183"/>
      <c r="F116" s="183"/>
      <c r="G116" s="184"/>
      <c r="H116" s="185" t="s">
        <v>101</v>
      </c>
      <c r="I116" s="183"/>
      <c r="J116" s="183"/>
      <c r="K116" s="184"/>
      <c r="L116" s="183" t="s">
        <v>100</v>
      </c>
      <c r="M116" s="183"/>
      <c r="N116" s="183"/>
      <c r="O116" s="182" t="s">
        <v>99</v>
      </c>
      <c r="P116" s="183"/>
      <c r="Q116" s="183"/>
      <c r="R116" s="183"/>
      <c r="S116" s="185" t="s">
        <v>100</v>
      </c>
      <c r="T116" s="183"/>
      <c r="U116" s="186"/>
      <c r="V116" s="183" t="s">
        <v>99</v>
      </c>
      <c r="W116" s="183"/>
      <c r="X116" s="183"/>
      <c r="Y116" s="183"/>
      <c r="Z116" s="185" t="s">
        <v>100</v>
      </c>
      <c r="AA116" s="183"/>
      <c r="AB116" s="187"/>
      <c r="AC116" s="37"/>
      <c r="AD116" s="41"/>
      <c r="AE116" s="41"/>
      <c r="AF116" s="41"/>
    </row>
    <row r="117" spans="1:32" ht="16" customHeight="1" x14ac:dyDescent="0.2">
      <c r="A117" s="37"/>
      <c r="B117" s="174"/>
      <c r="C117" s="315"/>
      <c r="D117" s="188" t="s">
        <v>110</v>
      </c>
      <c r="E117" s="189"/>
      <c r="F117" s="189"/>
      <c r="G117" s="190"/>
      <c r="H117" s="43" t="s">
        <v>113</v>
      </c>
      <c r="I117" s="43" t="s">
        <v>114</v>
      </c>
      <c r="J117" s="71" t="s">
        <v>115</v>
      </c>
      <c r="K117" s="53" t="s">
        <v>116</v>
      </c>
      <c r="L117" s="77" t="s">
        <v>96</v>
      </c>
      <c r="M117" s="191"/>
      <c r="N117" s="191"/>
      <c r="O117" s="188" t="s">
        <v>110</v>
      </c>
      <c r="P117" s="189"/>
      <c r="Q117" s="189"/>
      <c r="R117" s="189"/>
      <c r="S117" s="77" t="s">
        <v>96</v>
      </c>
      <c r="T117" s="191"/>
      <c r="U117" s="192"/>
      <c r="V117" s="189" t="s">
        <v>110</v>
      </c>
      <c r="W117" s="189"/>
      <c r="X117" s="189"/>
      <c r="Y117" s="189"/>
      <c r="Z117" s="77" t="s">
        <v>96</v>
      </c>
      <c r="AA117" s="191"/>
      <c r="AB117" s="193"/>
      <c r="AC117" s="37"/>
      <c r="AD117" s="41"/>
      <c r="AE117" s="41"/>
      <c r="AF117" s="41"/>
    </row>
    <row r="118" spans="1:32" ht="16" customHeight="1" x14ac:dyDescent="0.2">
      <c r="A118" s="37"/>
      <c r="B118" s="174"/>
      <c r="C118" s="315"/>
      <c r="D118" s="82" t="s">
        <v>53</v>
      </c>
      <c r="E118" s="41" t="s">
        <v>54</v>
      </c>
      <c r="F118" s="41" t="s">
        <v>90</v>
      </c>
      <c r="G118" s="53" t="s">
        <v>55</v>
      </c>
      <c r="H118" s="43" t="s">
        <v>102</v>
      </c>
      <c r="I118" s="43">
        <f>F119</f>
        <v>4.5076195987654322E-3</v>
      </c>
      <c r="J118" s="71"/>
      <c r="K118" s="52" t="str">
        <f>IF(J118="","",ABS(I118-J118))</f>
        <v/>
      </c>
      <c r="L118" s="78" t="s">
        <v>97</v>
      </c>
      <c r="M118" s="164"/>
      <c r="N118" s="164"/>
      <c r="O118" s="82" t="s">
        <v>54</v>
      </c>
      <c r="P118" s="41" t="s">
        <v>65</v>
      </c>
      <c r="Q118" s="67" t="s">
        <v>117</v>
      </c>
      <c r="R118" s="41" t="s">
        <v>116</v>
      </c>
      <c r="S118" s="78" t="s">
        <v>97</v>
      </c>
      <c r="T118" s="164"/>
      <c r="U118" s="168"/>
      <c r="V118" s="41" t="s">
        <v>54</v>
      </c>
      <c r="W118" s="41" t="s">
        <v>65</v>
      </c>
      <c r="X118" s="67" t="s">
        <v>117</v>
      </c>
      <c r="Y118" s="41" t="s">
        <v>116</v>
      </c>
      <c r="Z118" s="78" t="s">
        <v>97</v>
      </c>
      <c r="AA118" s="164"/>
      <c r="AB118" s="169"/>
      <c r="AC118" s="37"/>
      <c r="AD118" s="41"/>
      <c r="AE118" s="41"/>
      <c r="AF118" s="41"/>
    </row>
    <row r="119" spans="1:32" ht="16" customHeight="1" x14ac:dyDescent="0.2">
      <c r="A119" s="37"/>
      <c r="B119" s="174"/>
      <c r="C119" s="315"/>
      <c r="D119" s="82" t="s">
        <v>64</v>
      </c>
      <c r="E119" s="41">
        <v>1600</v>
      </c>
      <c r="F119" s="43">
        <f>L16</f>
        <v>4.5076195987654322E-3</v>
      </c>
      <c r="G119" s="53" t="s">
        <v>57</v>
      </c>
      <c r="H119" s="43" t="s">
        <v>103</v>
      </c>
      <c r="I119" s="43">
        <f>F119</f>
        <v>4.5076195987654322E-3</v>
      </c>
      <c r="J119" s="71"/>
      <c r="K119" s="52" t="str">
        <f t="shared" ref="K119:K122" si="24">IF(J119="","",ABS(I119-J119))</f>
        <v/>
      </c>
      <c r="L119" s="78" t="s">
        <v>98</v>
      </c>
      <c r="M119" s="164"/>
      <c r="N119" s="164"/>
      <c r="O119" s="82" t="s">
        <v>120</v>
      </c>
      <c r="P119" s="43">
        <f>S15</f>
        <v>3.0324074074074073E-3</v>
      </c>
      <c r="Q119" s="71"/>
      <c r="R119" s="52" t="str">
        <f>IF(Q119="","",ABS(P119-Q119))</f>
        <v/>
      </c>
      <c r="S119" s="78" t="s">
        <v>98</v>
      </c>
      <c r="T119" s="164"/>
      <c r="U119" s="168"/>
      <c r="V119" s="41" t="s">
        <v>121</v>
      </c>
      <c r="W119" s="43">
        <f>S17</f>
        <v>3.2523148148148147E-3</v>
      </c>
      <c r="X119" s="71"/>
      <c r="Y119" s="52" t="str">
        <f>IF(X119="","",ABS(W119-X119))</f>
        <v/>
      </c>
      <c r="Z119" s="78" t="s">
        <v>98</v>
      </c>
      <c r="AA119" s="164"/>
      <c r="AB119" s="169"/>
      <c r="AC119" s="37"/>
      <c r="AD119" s="41"/>
      <c r="AE119" s="41"/>
      <c r="AF119" s="41"/>
    </row>
    <row r="120" spans="1:32" ht="16" customHeight="1" x14ac:dyDescent="0.2">
      <c r="A120" s="37"/>
      <c r="B120" s="174"/>
      <c r="C120" s="315"/>
      <c r="D120" s="165" t="s">
        <v>111</v>
      </c>
      <c r="E120" s="166"/>
      <c r="F120" s="166"/>
      <c r="G120" s="167"/>
      <c r="H120" s="43" t="s">
        <v>104</v>
      </c>
      <c r="I120" s="43">
        <f>F119</f>
        <v>4.5076195987654322E-3</v>
      </c>
      <c r="J120" s="71"/>
      <c r="K120" s="52" t="str">
        <f t="shared" si="24"/>
        <v/>
      </c>
      <c r="L120" s="170" t="s">
        <v>112</v>
      </c>
      <c r="M120" s="171"/>
      <c r="N120" s="90"/>
      <c r="O120" s="165" t="s">
        <v>111</v>
      </c>
      <c r="P120" s="166"/>
      <c r="Q120" s="166"/>
      <c r="R120" s="167"/>
      <c r="S120" s="170" t="s">
        <v>112</v>
      </c>
      <c r="T120" s="171"/>
      <c r="U120" s="83"/>
      <c r="V120" s="166" t="s">
        <v>111</v>
      </c>
      <c r="W120" s="166"/>
      <c r="X120" s="166"/>
      <c r="Y120" s="167"/>
      <c r="Z120" s="170" t="s">
        <v>112</v>
      </c>
      <c r="AA120" s="171"/>
      <c r="AB120" s="80"/>
      <c r="AC120" s="37"/>
      <c r="AD120" s="41"/>
      <c r="AE120" s="41"/>
      <c r="AF120" s="41"/>
    </row>
    <row r="121" spans="1:32" ht="16" customHeight="1" x14ac:dyDescent="0.2">
      <c r="A121" s="37"/>
      <c r="B121" s="174"/>
      <c r="C121" s="315"/>
      <c r="D121" s="165"/>
      <c r="E121" s="166"/>
      <c r="F121" s="166"/>
      <c r="G121" s="167"/>
      <c r="H121" s="43"/>
      <c r="I121" s="43"/>
      <c r="J121" s="71"/>
      <c r="K121" s="52" t="str">
        <f t="shared" si="24"/>
        <v/>
      </c>
      <c r="L121" s="163" t="s">
        <v>88</v>
      </c>
      <c r="M121" s="164"/>
      <c r="N121" s="164"/>
      <c r="O121" s="82"/>
      <c r="P121" s="43"/>
      <c r="Q121" s="41"/>
      <c r="R121" s="52"/>
      <c r="S121" s="163" t="s">
        <v>88</v>
      </c>
      <c r="T121" s="164"/>
      <c r="U121" s="168"/>
      <c r="V121" s="30"/>
      <c r="W121" s="30"/>
      <c r="X121" s="30"/>
      <c r="Y121" s="30"/>
      <c r="Z121" s="163" t="s">
        <v>88</v>
      </c>
      <c r="AA121" s="164"/>
      <c r="AB121" s="169"/>
      <c r="AC121" s="37"/>
      <c r="AD121" s="41"/>
      <c r="AE121" s="41"/>
      <c r="AF121" s="41"/>
    </row>
    <row r="122" spans="1:32" ht="16" customHeight="1" thickBot="1" x14ac:dyDescent="0.25">
      <c r="A122" s="37"/>
      <c r="B122" s="174"/>
      <c r="C122" s="315"/>
      <c r="D122" s="84"/>
      <c r="E122" s="43"/>
      <c r="F122" s="43"/>
      <c r="G122" s="53"/>
      <c r="H122" s="43"/>
      <c r="I122" s="43"/>
      <c r="J122" s="71"/>
      <c r="K122" s="52" t="str">
        <f t="shared" si="24"/>
        <v/>
      </c>
      <c r="L122" s="163"/>
      <c r="M122" s="164"/>
      <c r="N122" s="164"/>
      <c r="O122" s="165"/>
      <c r="P122" s="166"/>
      <c r="Q122" s="166"/>
      <c r="R122" s="167"/>
      <c r="S122" s="163"/>
      <c r="T122" s="164"/>
      <c r="U122" s="168"/>
      <c r="V122" s="30"/>
      <c r="W122" s="30"/>
      <c r="X122" s="30"/>
      <c r="Y122" s="30"/>
      <c r="Z122" s="163"/>
      <c r="AA122" s="164"/>
      <c r="AB122" s="169"/>
      <c r="AC122" s="37"/>
      <c r="AD122" s="41"/>
      <c r="AE122" s="41"/>
      <c r="AF122" s="41"/>
    </row>
    <row r="123" spans="1:32" ht="16" customHeight="1" x14ac:dyDescent="0.2">
      <c r="A123" s="37"/>
      <c r="B123" s="172">
        <f>B115+1</f>
        <v>12</v>
      </c>
      <c r="C123" s="314"/>
      <c r="D123" s="178">
        <f>D19+(B123-1)*7</f>
        <v>42731</v>
      </c>
      <c r="E123" s="179"/>
      <c r="F123" s="179"/>
      <c r="G123" s="179"/>
      <c r="H123" s="179"/>
      <c r="I123" s="179"/>
      <c r="J123" s="179"/>
      <c r="K123" s="179"/>
      <c r="L123" s="179"/>
      <c r="M123" s="179"/>
      <c r="N123" s="179"/>
      <c r="O123" s="178">
        <f>O19+(B123-1)*7</f>
        <v>42734</v>
      </c>
      <c r="P123" s="179"/>
      <c r="Q123" s="179"/>
      <c r="R123" s="179"/>
      <c r="S123" s="179"/>
      <c r="T123" s="179"/>
      <c r="U123" s="180"/>
      <c r="V123" s="179">
        <f>V19+(B123-1)*7</f>
        <v>42736</v>
      </c>
      <c r="W123" s="179"/>
      <c r="X123" s="179"/>
      <c r="Y123" s="179"/>
      <c r="Z123" s="179"/>
      <c r="AA123" s="179"/>
      <c r="AB123" s="181"/>
      <c r="AC123" s="37"/>
      <c r="AD123" s="41"/>
      <c r="AE123" s="41"/>
      <c r="AF123" s="41"/>
    </row>
    <row r="124" spans="1:32" ht="16" customHeight="1" x14ac:dyDescent="0.2">
      <c r="A124" s="37"/>
      <c r="B124" s="174"/>
      <c r="C124" s="315"/>
      <c r="D124" s="182" t="s">
        <v>99</v>
      </c>
      <c r="E124" s="183"/>
      <c r="F124" s="183"/>
      <c r="G124" s="184"/>
      <c r="H124" s="185" t="s">
        <v>101</v>
      </c>
      <c r="I124" s="183"/>
      <c r="J124" s="183"/>
      <c r="K124" s="184"/>
      <c r="L124" s="183" t="s">
        <v>100</v>
      </c>
      <c r="M124" s="183"/>
      <c r="N124" s="183"/>
      <c r="O124" s="182" t="s">
        <v>99</v>
      </c>
      <c r="P124" s="183"/>
      <c r="Q124" s="183"/>
      <c r="R124" s="183"/>
      <c r="S124" s="185" t="s">
        <v>100</v>
      </c>
      <c r="T124" s="183"/>
      <c r="U124" s="186"/>
      <c r="V124" s="183" t="s">
        <v>99</v>
      </c>
      <c r="W124" s="183"/>
      <c r="X124" s="183"/>
      <c r="Y124" s="183"/>
      <c r="Z124" s="185" t="s">
        <v>100</v>
      </c>
      <c r="AA124" s="183"/>
      <c r="AB124" s="187"/>
      <c r="AC124" s="37"/>
      <c r="AD124" s="41"/>
      <c r="AE124" s="41"/>
      <c r="AF124" s="41"/>
    </row>
    <row r="125" spans="1:32" ht="16" customHeight="1" x14ac:dyDescent="0.2">
      <c r="A125" s="37"/>
      <c r="B125" s="174"/>
      <c r="C125" s="315"/>
      <c r="D125" s="188" t="s">
        <v>110</v>
      </c>
      <c r="E125" s="189"/>
      <c r="F125" s="189"/>
      <c r="G125" s="190"/>
      <c r="H125" s="43" t="s">
        <v>113</v>
      </c>
      <c r="I125" s="43" t="s">
        <v>114</v>
      </c>
      <c r="J125" s="71" t="s">
        <v>115</v>
      </c>
      <c r="K125" s="53" t="s">
        <v>116</v>
      </c>
      <c r="L125" s="77" t="s">
        <v>96</v>
      </c>
      <c r="M125" s="191"/>
      <c r="N125" s="191"/>
      <c r="O125" s="188" t="s">
        <v>110</v>
      </c>
      <c r="P125" s="189"/>
      <c r="Q125" s="189"/>
      <c r="R125" s="189"/>
      <c r="S125" s="77" t="s">
        <v>96</v>
      </c>
      <c r="T125" s="191"/>
      <c r="U125" s="192"/>
      <c r="V125" s="189" t="s">
        <v>110</v>
      </c>
      <c r="W125" s="189"/>
      <c r="X125" s="189"/>
      <c r="Y125" s="189"/>
      <c r="Z125" s="77" t="s">
        <v>96</v>
      </c>
      <c r="AA125" s="191"/>
      <c r="AB125" s="193"/>
      <c r="AC125" s="37"/>
      <c r="AD125" s="41"/>
      <c r="AE125" s="41"/>
      <c r="AF125" s="41"/>
    </row>
    <row r="126" spans="1:32" ht="16" customHeight="1" x14ac:dyDescent="0.2">
      <c r="A126" s="37"/>
      <c r="B126" s="174"/>
      <c r="C126" s="315"/>
      <c r="D126" s="82" t="s">
        <v>53</v>
      </c>
      <c r="E126" s="41" t="s">
        <v>54</v>
      </c>
      <c r="F126" s="41" t="s">
        <v>90</v>
      </c>
      <c r="G126" s="53" t="s">
        <v>55</v>
      </c>
      <c r="H126" s="43" t="s">
        <v>102</v>
      </c>
      <c r="I126" s="43">
        <f>F127</f>
        <v>1.0551697530864197E-3</v>
      </c>
      <c r="J126" s="71"/>
      <c r="K126" s="52" t="str">
        <f>IF(J126="","",ABS(I126-J126))</f>
        <v/>
      </c>
      <c r="L126" s="78" t="s">
        <v>97</v>
      </c>
      <c r="M126" s="164"/>
      <c r="N126" s="164"/>
      <c r="O126" s="82" t="s">
        <v>54</v>
      </c>
      <c r="P126" s="41" t="s">
        <v>65</v>
      </c>
      <c r="Q126" s="67" t="s">
        <v>117</v>
      </c>
      <c r="R126" s="41" t="s">
        <v>116</v>
      </c>
      <c r="S126" s="78" t="s">
        <v>97</v>
      </c>
      <c r="T126" s="164"/>
      <c r="U126" s="168"/>
      <c r="V126" s="41"/>
      <c r="W126" s="41"/>
      <c r="X126" s="41"/>
      <c r="Y126" s="41"/>
      <c r="Z126" s="78" t="s">
        <v>97</v>
      </c>
      <c r="AA126" s="164"/>
      <c r="AB126" s="169"/>
      <c r="AC126" s="37"/>
      <c r="AD126" s="41"/>
      <c r="AE126" s="41"/>
      <c r="AF126" s="41"/>
    </row>
    <row r="127" spans="1:32" ht="16" customHeight="1" x14ac:dyDescent="0.2">
      <c r="A127" s="37"/>
      <c r="B127" s="174"/>
      <c r="C127" s="315"/>
      <c r="D127" s="82" t="s">
        <v>63</v>
      </c>
      <c r="E127" s="41">
        <v>400</v>
      </c>
      <c r="F127" s="43">
        <f>F15</f>
        <v>1.0551697530864197E-3</v>
      </c>
      <c r="G127" s="53" t="s">
        <v>129</v>
      </c>
      <c r="H127" s="43" t="s">
        <v>103</v>
      </c>
      <c r="I127" s="43">
        <f>I126</f>
        <v>1.0551697530864197E-3</v>
      </c>
      <c r="J127" s="71"/>
      <c r="K127" s="52" t="str">
        <f t="shared" ref="K127:K131" si="25">IF(J127="","",ABS(I127-J127))</f>
        <v/>
      </c>
      <c r="L127" s="78" t="s">
        <v>98</v>
      </c>
      <c r="M127" s="164"/>
      <c r="N127" s="164"/>
      <c r="O127" s="82" t="s">
        <v>120</v>
      </c>
      <c r="P127" s="43">
        <f>S18</f>
        <v>3.7268518518518519E-3</v>
      </c>
      <c r="Q127" s="71"/>
      <c r="R127" s="52" t="str">
        <f>IF(Q127="","",ABS(P127-Q127))</f>
        <v/>
      </c>
      <c r="S127" s="78" t="s">
        <v>98</v>
      </c>
      <c r="T127" s="164"/>
      <c r="U127" s="168"/>
      <c r="V127" s="231" t="s">
        <v>130</v>
      </c>
      <c r="W127" s="231"/>
      <c r="X127" s="231"/>
      <c r="Y127" s="297"/>
      <c r="Z127" s="78" t="s">
        <v>98</v>
      </c>
      <c r="AA127" s="164"/>
      <c r="AB127" s="169"/>
      <c r="AC127" s="37"/>
      <c r="AD127" s="41"/>
      <c r="AE127" s="41"/>
      <c r="AF127" s="41"/>
    </row>
    <row r="128" spans="1:32" ht="16" customHeight="1" x14ac:dyDescent="0.2">
      <c r="A128" s="37"/>
      <c r="B128" s="174"/>
      <c r="C128" s="315"/>
      <c r="D128" s="165" t="s">
        <v>111</v>
      </c>
      <c r="E128" s="166"/>
      <c r="F128" s="166"/>
      <c r="G128" s="167"/>
      <c r="H128" s="43" t="s">
        <v>104</v>
      </c>
      <c r="I128" s="43">
        <f t="shared" ref="I128:I131" si="26">I127</f>
        <v>1.0551697530864197E-3</v>
      </c>
      <c r="J128" s="71"/>
      <c r="K128" s="52" t="str">
        <f t="shared" si="25"/>
        <v/>
      </c>
      <c r="L128" s="170" t="s">
        <v>112</v>
      </c>
      <c r="M128" s="171"/>
      <c r="N128" s="90"/>
      <c r="O128" s="165" t="s">
        <v>111</v>
      </c>
      <c r="P128" s="166"/>
      <c r="Q128" s="166"/>
      <c r="R128" s="167"/>
      <c r="S128" s="170" t="s">
        <v>112</v>
      </c>
      <c r="T128" s="171"/>
      <c r="U128" s="83"/>
      <c r="V128" s="166"/>
      <c r="W128" s="166"/>
      <c r="X128" s="166"/>
      <c r="Y128" s="167"/>
      <c r="Z128" s="170" t="s">
        <v>112</v>
      </c>
      <c r="AA128" s="171"/>
      <c r="AB128" s="80"/>
      <c r="AC128" s="37"/>
      <c r="AD128" s="41"/>
      <c r="AE128" s="41"/>
      <c r="AF128" s="41"/>
    </row>
    <row r="129" spans="1:32" ht="16" customHeight="1" x14ac:dyDescent="0.2">
      <c r="A129" s="37"/>
      <c r="B129" s="174"/>
      <c r="C129" s="315"/>
      <c r="D129" s="82"/>
      <c r="E129" s="41"/>
      <c r="F129" s="43"/>
      <c r="G129" s="53"/>
      <c r="H129" s="43" t="s">
        <v>105</v>
      </c>
      <c r="I129" s="43">
        <f t="shared" si="26"/>
        <v>1.0551697530864197E-3</v>
      </c>
      <c r="J129" s="71"/>
      <c r="K129" s="52" t="str">
        <f t="shared" si="25"/>
        <v/>
      </c>
      <c r="L129" s="163" t="s">
        <v>88</v>
      </c>
      <c r="M129" s="164"/>
      <c r="N129" s="164"/>
      <c r="O129" s="82"/>
      <c r="P129" s="43"/>
      <c r="Q129" s="41"/>
      <c r="R129" s="52"/>
      <c r="S129" s="163" t="s">
        <v>88</v>
      </c>
      <c r="T129" s="164"/>
      <c r="U129" s="168"/>
      <c r="V129" s="166" t="s">
        <v>111</v>
      </c>
      <c r="W129" s="166"/>
      <c r="X129" s="166"/>
      <c r="Y129" s="167"/>
      <c r="Z129" s="163" t="s">
        <v>88</v>
      </c>
      <c r="AA129" s="164"/>
      <c r="AB129" s="169"/>
      <c r="AC129" s="37"/>
      <c r="AD129" s="41"/>
      <c r="AE129" s="41"/>
      <c r="AF129" s="41"/>
    </row>
    <row r="130" spans="1:32" ht="16" customHeight="1" x14ac:dyDescent="0.2">
      <c r="A130" s="37"/>
      <c r="B130" s="174"/>
      <c r="C130" s="315"/>
      <c r="D130" s="82"/>
      <c r="E130" s="41"/>
      <c r="F130" s="43"/>
      <c r="G130" s="53"/>
      <c r="H130" s="43" t="s">
        <v>106</v>
      </c>
      <c r="I130" s="43">
        <f t="shared" si="26"/>
        <v>1.0551697530864197E-3</v>
      </c>
      <c r="J130" s="71"/>
      <c r="K130" s="52" t="str">
        <f t="shared" si="25"/>
        <v/>
      </c>
      <c r="L130" s="163"/>
      <c r="M130" s="164"/>
      <c r="N130" s="164"/>
      <c r="O130" s="165"/>
      <c r="P130" s="166"/>
      <c r="Q130" s="166"/>
      <c r="R130" s="167"/>
      <c r="S130" s="163"/>
      <c r="T130" s="164"/>
      <c r="U130" s="168"/>
      <c r="V130" s="30"/>
      <c r="W130" s="30"/>
      <c r="X130" s="30"/>
      <c r="Y130" s="30"/>
      <c r="Z130" s="163"/>
      <c r="AA130" s="164"/>
      <c r="AB130" s="169"/>
      <c r="AC130" s="37"/>
      <c r="AD130" s="41"/>
      <c r="AE130" s="41"/>
      <c r="AF130" s="41"/>
    </row>
    <row r="131" spans="1:32" ht="16" customHeight="1" thickBot="1" x14ac:dyDescent="0.25">
      <c r="A131" s="37"/>
      <c r="B131" s="176"/>
      <c r="C131" s="317"/>
      <c r="D131" s="88"/>
      <c r="E131" s="45"/>
      <c r="F131" s="46"/>
      <c r="G131" s="55"/>
      <c r="H131" s="46" t="s">
        <v>107</v>
      </c>
      <c r="I131" s="46">
        <f t="shared" si="26"/>
        <v>1.0551697530864197E-3</v>
      </c>
      <c r="J131" s="73"/>
      <c r="K131" s="56" t="str">
        <f t="shared" si="25"/>
        <v/>
      </c>
      <c r="L131" s="45"/>
      <c r="M131" s="45"/>
      <c r="N131" s="58"/>
      <c r="O131" s="88"/>
      <c r="P131" s="45"/>
      <c r="Q131" s="45"/>
      <c r="R131" s="45"/>
      <c r="S131" s="57"/>
      <c r="T131" s="45"/>
      <c r="U131" s="89"/>
      <c r="V131" s="58"/>
      <c r="W131" s="58"/>
      <c r="X131" s="58"/>
      <c r="Y131" s="58"/>
      <c r="Z131" s="57"/>
      <c r="AA131" s="45"/>
      <c r="AB131" s="59"/>
      <c r="AC131" s="37"/>
      <c r="AD131" s="41"/>
      <c r="AE131" s="41"/>
      <c r="AF131" s="41"/>
    </row>
    <row r="132" spans="1:32" ht="17" thickTop="1" thickBot="1" x14ac:dyDescent="0.25">
      <c r="A132" s="37"/>
      <c r="B132" s="37"/>
      <c r="C132" s="37"/>
      <c r="D132" s="37"/>
      <c r="E132" s="37"/>
      <c r="F132" s="37"/>
      <c r="G132" s="37"/>
      <c r="H132" s="37"/>
      <c r="I132" s="37"/>
      <c r="J132" s="37"/>
      <c r="K132" s="37"/>
      <c r="L132" s="37"/>
      <c r="M132" s="37"/>
      <c r="N132" s="37"/>
      <c r="O132" s="37"/>
      <c r="P132" s="37"/>
      <c r="Q132" s="37"/>
      <c r="R132" s="37"/>
      <c r="S132" s="37"/>
      <c r="T132" s="37"/>
      <c r="U132" s="37"/>
      <c r="V132" s="37"/>
      <c r="W132" s="37"/>
      <c r="X132" s="37"/>
      <c r="Y132" s="37"/>
      <c r="Z132" s="37"/>
      <c r="AA132" s="37"/>
      <c r="AB132" s="37"/>
      <c r="AC132" s="37"/>
      <c r="AD132" s="41"/>
      <c r="AE132" s="41"/>
      <c r="AF132" s="41"/>
    </row>
    <row r="133" spans="1:32" ht="23.25" customHeight="1" thickTop="1" x14ac:dyDescent="0.2">
      <c r="A133" s="37"/>
      <c r="B133" s="242" t="s">
        <v>76</v>
      </c>
      <c r="C133" s="243"/>
      <c r="D133" s="243"/>
      <c r="E133" s="243"/>
      <c r="F133" s="243"/>
      <c r="G133" s="243"/>
      <c r="H133" s="243"/>
      <c r="I133" s="243"/>
      <c r="J133" s="243"/>
      <c r="K133" s="243"/>
      <c r="L133" s="243"/>
      <c r="M133" s="243"/>
      <c r="N133" s="243"/>
      <c r="O133" s="243"/>
      <c r="P133" s="243"/>
      <c r="Q133" s="243"/>
      <c r="R133" s="243"/>
      <c r="S133" s="243"/>
      <c r="T133" s="243"/>
      <c r="U133" s="243"/>
      <c r="V133" s="243"/>
      <c r="W133" s="243"/>
      <c r="X133" s="243"/>
      <c r="Y133" s="243"/>
      <c r="Z133" s="243"/>
      <c r="AA133" s="243"/>
      <c r="AB133" s="244"/>
      <c r="AC133" s="37"/>
      <c r="AD133" s="41"/>
      <c r="AE133" s="41"/>
      <c r="AF133" s="41"/>
    </row>
    <row r="134" spans="1:32" ht="18" customHeight="1" x14ac:dyDescent="0.2">
      <c r="A134" s="37"/>
      <c r="B134" s="33"/>
      <c r="C134" s="47" t="s">
        <v>67</v>
      </c>
      <c r="D134" s="41"/>
      <c r="E134" s="41"/>
      <c r="F134" s="41"/>
      <c r="G134" s="230" t="s">
        <v>7</v>
      </c>
      <c r="H134" s="231"/>
      <c r="I134" s="231"/>
      <c r="J134" s="231"/>
      <c r="K134" s="231"/>
      <c r="L134" s="231"/>
      <c r="M134" s="231"/>
      <c r="N134" s="232"/>
      <c r="O134" s="230" t="s">
        <v>75</v>
      </c>
      <c r="P134" s="231"/>
      <c r="Q134" s="231"/>
      <c r="R134" s="231"/>
      <c r="S134" s="231"/>
      <c r="T134" s="231"/>
      <c r="U134" s="232"/>
      <c r="V134" s="245" t="s">
        <v>51</v>
      </c>
      <c r="W134" s="245"/>
      <c r="X134" s="245"/>
      <c r="Y134" s="245"/>
      <c r="Z134" s="245"/>
      <c r="AA134" s="245"/>
      <c r="AB134" s="246"/>
      <c r="AC134" s="37"/>
      <c r="AD134" s="100"/>
      <c r="AE134" s="100"/>
      <c r="AF134" s="41"/>
    </row>
    <row r="135" spans="1:32" ht="18" customHeight="1" x14ac:dyDescent="0.2">
      <c r="A135" s="37"/>
      <c r="B135" s="32"/>
      <c r="C135" s="47" t="s">
        <v>68</v>
      </c>
      <c r="D135" s="41"/>
      <c r="E135" s="41"/>
      <c r="F135" s="41"/>
      <c r="G135" s="91" t="s">
        <v>72</v>
      </c>
      <c r="H135" s="47"/>
      <c r="I135" s="47"/>
      <c r="J135" s="47"/>
      <c r="K135" s="47"/>
      <c r="L135" s="47"/>
      <c r="M135" s="47"/>
      <c r="N135" s="92"/>
      <c r="O135" s="91" t="s">
        <v>164</v>
      </c>
      <c r="P135" s="47"/>
      <c r="Q135" s="47"/>
      <c r="R135" s="47"/>
      <c r="S135" s="47"/>
      <c r="T135" s="47"/>
      <c r="U135" s="92"/>
      <c r="V135" s="247" t="s">
        <v>166</v>
      </c>
      <c r="W135" s="248"/>
      <c r="X135" s="248"/>
      <c r="Y135" s="248"/>
      <c r="Z135" s="248"/>
      <c r="AA135" s="248"/>
      <c r="AB135" s="249"/>
      <c r="AC135" s="37"/>
      <c r="AD135" s="41"/>
      <c r="AE135" s="41"/>
      <c r="AF135" s="41"/>
    </row>
    <row r="136" spans="1:32" ht="18" customHeight="1" x14ac:dyDescent="0.2">
      <c r="A136" s="37"/>
      <c r="B136" s="32"/>
      <c r="C136" s="47" t="s">
        <v>69</v>
      </c>
      <c r="D136" s="41"/>
      <c r="E136" s="41"/>
      <c r="F136" s="41"/>
      <c r="G136" s="91" t="s">
        <v>73</v>
      </c>
      <c r="H136" s="47"/>
      <c r="I136" s="47"/>
      <c r="J136" s="47"/>
      <c r="K136" s="47"/>
      <c r="L136" s="47"/>
      <c r="M136" s="47"/>
      <c r="N136" s="92"/>
      <c r="O136" s="91" t="s">
        <v>165</v>
      </c>
      <c r="P136" s="47"/>
      <c r="Q136" s="47"/>
      <c r="R136" s="47"/>
      <c r="S136" s="47"/>
      <c r="T136" s="47"/>
      <c r="U136" s="92"/>
      <c r="V136" s="247"/>
      <c r="W136" s="248"/>
      <c r="X136" s="248"/>
      <c r="Y136" s="248"/>
      <c r="Z136" s="248"/>
      <c r="AA136" s="248"/>
      <c r="AB136" s="249"/>
      <c r="AC136" s="37"/>
      <c r="AD136" s="41"/>
      <c r="AE136" s="41"/>
      <c r="AF136" s="41"/>
    </row>
    <row r="137" spans="1:32" ht="18" customHeight="1" x14ac:dyDescent="0.2">
      <c r="A137" s="37"/>
      <c r="B137" s="32"/>
      <c r="C137" s="47" t="s">
        <v>134</v>
      </c>
      <c r="D137" s="41"/>
      <c r="E137" s="41"/>
      <c r="F137" s="41"/>
      <c r="G137" s="91" t="s">
        <v>131</v>
      </c>
      <c r="H137" s="47"/>
      <c r="I137" s="47"/>
      <c r="J137" s="47"/>
      <c r="K137" s="47"/>
      <c r="L137" s="47"/>
      <c r="M137" s="47"/>
      <c r="N137" s="92"/>
      <c r="O137" s="247" t="s">
        <v>163</v>
      </c>
      <c r="P137" s="248"/>
      <c r="Q137" s="248"/>
      <c r="R137" s="248"/>
      <c r="S137" s="248"/>
      <c r="T137" s="248"/>
      <c r="U137" s="250"/>
      <c r="V137" s="47" t="s">
        <v>82</v>
      </c>
      <c r="W137" s="30"/>
      <c r="X137" s="41"/>
      <c r="Y137" s="41"/>
      <c r="Z137" s="41"/>
      <c r="AA137" s="41"/>
      <c r="AB137" s="44"/>
      <c r="AC137" s="37"/>
      <c r="AD137" s="41"/>
      <c r="AE137" s="41"/>
      <c r="AF137" s="41"/>
    </row>
    <row r="138" spans="1:32" ht="18" customHeight="1" x14ac:dyDescent="0.2">
      <c r="A138" s="37"/>
      <c r="B138" s="32"/>
      <c r="C138" s="47" t="s">
        <v>135</v>
      </c>
      <c r="D138" s="41"/>
      <c r="E138" s="41"/>
      <c r="F138" s="41"/>
      <c r="G138" s="91" t="s">
        <v>132</v>
      </c>
      <c r="H138" s="47"/>
      <c r="I138" s="47"/>
      <c r="J138" s="47"/>
      <c r="K138" s="47"/>
      <c r="L138" s="41"/>
      <c r="M138" s="41"/>
      <c r="N138" s="86"/>
      <c r="O138" s="247"/>
      <c r="P138" s="248"/>
      <c r="Q138" s="248"/>
      <c r="R138" s="248"/>
      <c r="S138" s="248"/>
      <c r="T138" s="248"/>
      <c r="U138" s="250"/>
      <c r="V138" s="41"/>
      <c r="W138" s="41"/>
      <c r="X138" s="41"/>
      <c r="Y138" s="41"/>
      <c r="Z138" s="41"/>
      <c r="AA138" s="41"/>
      <c r="AB138" s="44"/>
      <c r="AC138" s="37"/>
      <c r="AD138" s="41"/>
      <c r="AE138" s="41"/>
      <c r="AF138" s="41"/>
    </row>
    <row r="139" spans="1:32" ht="15.75" customHeight="1" x14ac:dyDescent="0.2">
      <c r="A139" s="37"/>
      <c r="B139" s="32"/>
      <c r="C139" s="47" t="s">
        <v>136</v>
      </c>
      <c r="D139" s="41"/>
      <c r="E139" s="41"/>
      <c r="F139" s="41"/>
      <c r="G139" s="82"/>
      <c r="H139" s="41"/>
      <c r="I139" s="41"/>
      <c r="J139" s="41"/>
      <c r="K139" s="41"/>
      <c r="L139" s="41"/>
      <c r="M139" s="41"/>
      <c r="N139" s="86"/>
      <c r="O139" s="82"/>
      <c r="P139" s="41"/>
      <c r="Q139" s="41"/>
      <c r="R139" s="41"/>
      <c r="S139" s="41"/>
      <c r="T139" s="41"/>
      <c r="U139" s="86"/>
      <c r="V139" s="41"/>
      <c r="W139" s="41"/>
      <c r="X139" s="41"/>
      <c r="Y139" s="41"/>
      <c r="Z139" s="41"/>
      <c r="AA139" s="41"/>
      <c r="AB139" s="44"/>
      <c r="AC139" s="37"/>
      <c r="AD139" s="41"/>
      <c r="AE139" s="41"/>
      <c r="AF139" s="41"/>
    </row>
    <row r="140" spans="1:32" ht="15.75" customHeight="1" x14ac:dyDescent="0.2">
      <c r="A140" s="37"/>
      <c r="B140" s="32"/>
      <c r="C140" s="47" t="s">
        <v>70</v>
      </c>
      <c r="D140" s="41"/>
      <c r="E140" s="41"/>
      <c r="F140" s="41"/>
      <c r="G140" s="91" t="s">
        <v>74</v>
      </c>
      <c r="H140" s="47"/>
      <c r="I140" s="47"/>
      <c r="J140" s="47"/>
      <c r="K140" s="47"/>
      <c r="L140" s="47"/>
      <c r="M140" s="47"/>
      <c r="N140" s="92"/>
      <c r="O140" s="91"/>
      <c r="P140" s="41"/>
      <c r="Q140" s="41"/>
      <c r="R140" s="41"/>
      <c r="S140" s="30"/>
      <c r="T140" s="30"/>
      <c r="U140" s="86"/>
      <c r="V140" s="41"/>
      <c r="W140" s="41"/>
      <c r="X140" s="41"/>
      <c r="Y140" s="41"/>
      <c r="Z140" s="41"/>
      <c r="AA140" s="41"/>
      <c r="AB140" s="44"/>
      <c r="AC140" s="37"/>
      <c r="AD140" s="41"/>
      <c r="AE140" s="41"/>
      <c r="AF140" s="41"/>
    </row>
    <row r="141" spans="1:32" ht="15.75" customHeight="1" thickBot="1" x14ac:dyDescent="0.25">
      <c r="A141" s="37"/>
      <c r="B141" s="32"/>
      <c r="C141" s="47" t="s">
        <v>71</v>
      </c>
      <c r="D141" s="41"/>
      <c r="E141" s="41"/>
      <c r="F141" s="41"/>
      <c r="G141" s="93" t="s">
        <v>133</v>
      </c>
      <c r="H141" s="48"/>
      <c r="I141" s="48"/>
      <c r="J141" s="48"/>
      <c r="K141" s="48"/>
      <c r="L141" s="48"/>
      <c r="M141" s="48"/>
      <c r="N141" s="98"/>
      <c r="O141" s="93"/>
      <c r="P141" s="41"/>
      <c r="Q141" s="41"/>
      <c r="R141" s="41"/>
      <c r="S141" s="41"/>
      <c r="T141" s="41"/>
      <c r="U141" s="86"/>
      <c r="V141" s="41"/>
      <c r="W141" s="41"/>
      <c r="X141" s="41"/>
      <c r="Y141" s="41"/>
      <c r="Z141" s="41"/>
      <c r="AA141" s="41"/>
      <c r="AB141" s="44"/>
      <c r="AC141" s="37"/>
      <c r="AD141" s="41"/>
      <c r="AE141" s="41"/>
      <c r="AF141" s="41"/>
    </row>
    <row r="142" spans="1:32" ht="19.5" customHeight="1" thickBot="1" x14ac:dyDescent="0.25">
      <c r="A142" s="37"/>
      <c r="B142" s="251" t="s">
        <v>52</v>
      </c>
      <c r="C142" s="252"/>
      <c r="D142" s="253" t="s">
        <v>7</v>
      </c>
      <c r="E142" s="253"/>
      <c r="F142" s="253"/>
      <c r="G142" s="253"/>
      <c r="H142" s="253"/>
      <c r="I142" s="253"/>
      <c r="J142" s="253"/>
      <c r="K142" s="253"/>
      <c r="L142" s="253"/>
      <c r="M142" s="253"/>
      <c r="N142" s="252"/>
      <c r="O142" s="254" t="s">
        <v>50</v>
      </c>
      <c r="P142" s="253"/>
      <c r="Q142" s="253"/>
      <c r="R142" s="253"/>
      <c r="S142" s="253"/>
      <c r="T142" s="253"/>
      <c r="U142" s="255"/>
      <c r="V142" s="256" t="s">
        <v>51</v>
      </c>
      <c r="W142" s="253"/>
      <c r="X142" s="253"/>
      <c r="Y142" s="253"/>
      <c r="Z142" s="252"/>
      <c r="AA142" s="252"/>
      <c r="AB142" s="257"/>
      <c r="AC142" s="37"/>
      <c r="AD142" s="41"/>
      <c r="AE142" s="41"/>
      <c r="AF142" s="41"/>
    </row>
    <row r="143" spans="1:32" ht="16" customHeight="1" x14ac:dyDescent="0.2">
      <c r="A143" s="37"/>
      <c r="B143" s="235" t="s">
        <v>137</v>
      </c>
      <c r="C143" s="236"/>
      <c r="D143" s="200" t="str">
        <f>B$2</f>
        <v>400 M</v>
      </c>
      <c r="E143" s="201"/>
      <c r="F143" s="158">
        <f>$B$3</f>
        <v>1.0551697530864197E-3</v>
      </c>
      <c r="G143" s="158">
        <f>$B$4</f>
        <v>2.6379243827160492E-3</v>
      </c>
      <c r="H143" s="158"/>
      <c r="I143" s="140"/>
      <c r="J143" s="201" t="str">
        <f>J$2</f>
        <v>1200 M</v>
      </c>
      <c r="K143" s="201"/>
      <c r="L143" s="158">
        <f>$J$3</f>
        <v>3.3135609567901229E-3</v>
      </c>
      <c r="M143" s="158">
        <f>$J$4</f>
        <v>2.7613007973251026E-3</v>
      </c>
      <c r="N143" s="158"/>
      <c r="O143" s="94"/>
      <c r="P143" s="258" t="s">
        <v>91</v>
      </c>
      <c r="Q143" s="258"/>
      <c r="R143" s="258"/>
      <c r="S143" s="259">
        <f>$P$3</f>
        <v>3.0324074074074073E-3</v>
      </c>
      <c r="T143" s="259"/>
      <c r="U143" s="95"/>
      <c r="V143" s="69"/>
      <c r="W143" s="260" t="s">
        <v>94</v>
      </c>
      <c r="X143" s="260"/>
      <c r="Y143" s="260"/>
      <c r="Z143" s="261">
        <f>$X$3</f>
        <v>3.3584104938271606E-3</v>
      </c>
      <c r="AA143" s="261"/>
      <c r="AB143" s="68"/>
      <c r="AC143" s="37"/>
      <c r="AD143" s="41"/>
      <c r="AE143" s="41"/>
      <c r="AF143" s="41"/>
    </row>
    <row r="144" spans="1:32" ht="16" customHeight="1" x14ac:dyDescent="0.2">
      <c r="A144" s="37"/>
      <c r="B144" s="237"/>
      <c r="C144" s="238"/>
      <c r="D144" s="202" t="str">
        <f>D$2</f>
        <v>600 M</v>
      </c>
      <c r="E144" s="203"/>
      <c r="F144" s="158">
        <f>$D$3</f>
        <v>1.6116898148148149E-3</v>
      </c>
      <c r="G144" s="158">
        <f>$D$4</f>
        <v>2.6861496913580252E-3</v>
      </c>
      <c r="H144" s="158"/>
      <c r="I144" s="140"/>
      <c r="J144" s="203" t="str">
        <f>L$2</f>
        <v>1600 M</v>
      </c>
      <c r="K144" s="203"/>
      <c r="L144" s="158">
        <f>$L$3</f>
        <v>4.5076195987654322E-3</v>
      </c>
      <c r="M144" s="158">
        <f>$L$4</f>
        <v>2.8172622492283949E-3</v>
      </c>
      <c r="N144" s="158"/>
      <c r="O144" s="94"/>
      <c r="P144" s="258" t="s">
        <v>92</v>
      </c>
      <c r="Q144" s="258"/>
      <c r="R144" s="258"/>
      <c r="S144" s="261">
        <f>$R$3</f>
        <v>3.1481481481481482E-3</v>
      </c>
      <c r="T144" s="261"/>
      <c r="U144" s="95"/>
      <c r="V144" s="69"/>
      <c r="W144" s="258" t="s">
        <v>95</v>
      </c>
      <c r="X144" s="258"/>
      <c r="Y144" s="258"/>
      <c r="Z144" s="261">
        <f>$Z$3</f>
        <v>3.2040895061728391E-3</v>
      </c>
      <c r="AA144" s="261"/>
      <c r="AB144" s="68"/>
      <c r="AC144" s="37"/>
      <c r="AD144" s="41"/>
      <c r="AE144" s="41"/>
      <c r="AF144" s="41"/>
    </row>
    <row r="145" spans="1:32" ht="16" customHeight="1" x14ac:dyDescent="0.2">
      <c r="A145" s="37"/>
      <c r="B145" s="237"/>
      <c r="C145" s="238"/>
      <c r="D145" s="202" t="str">
        <f>F$2</f>
        <v>800 M</v>
      </c>
      <c r="E145" s="203"/>
      <c r="F145" s="158">
        <f>$F$3</f>
        <v>2.1566358024691359E-3</v>
      </c>
      <c r="G145" s="158">
        <f>$F$4</f>
        <v>2.6957947530864201E-3</v>
      </c>
      <c r="H145" s="158"/>
      <c r="I145" s="140"/>
      <c r="J145" s="203" t="str">
        <f>N$2</f>
        <v>2000 M</v>
      </c>
      <c r="K145" s="203"/>
      <c r="L145" s="158">
        <f>$N$3</f>
        <v>5.6925154320987652E-3</v>
      </c>
      <c r="M145" s="158">
        <f>$N$4</f>
        <v>2.8462577160493826E-3</v>
      </c>
      <c r="N145" s="158"/>
      <c r="O145" s="94"/>
      <c r="P145" s="258" t="s">
        <v>93</v>
      </c>
      <c r="Q145" s="258"/>
      <c r="R145" s="258"/>
      <c r="S145" s="261">
        <f>$T$3</f>
        <v>3.2523148148148147E-3</v>
      </c>
      <c r="T145" s="261"/>
      <c r="U145" s="95"/>
      <c r="V145" s="69"/>
      <c r="W145" s="69"/>
      <c r="X145" s="69"/>
      <c r="Y145" s="69"/>
      <c r="Z145" s="69"/>
      <c r="AA145" s="69"/>
      <c r="AB145" s="68"/>
      <c r="AC145" s="37"/>
      <c r="AD145" s="41"/>
      <c r="AE145" s="41"/>
      <c r="AF145" s="41"/>
    </row>
    <row r="146" spans="1:32" ht="16" customHeight="1" thickBot="1" x14ac:dyDescent="0.25">
      <c r="A146" s="37"/>
      <c r="B146" s="239"/>
      <c r="C146" s="240"/>
      <c r="D146" s="204" t="str">
        <f>H$2</f>
        <v xml:space="preserve">1000 M </v>
      </c>
      <c r="E146" s="205"/>
      <c r="F146" s="160">
        <f>$H$3</f>
        <v>2.7247299382716049E-3</v>
      </c>
      <c r="G146" s="160">
        <f>$H$4</f>
        <v>2.7247299382716049E-3</v>
      </c>
      <c r="H146" s="160"/>
      <c r="I146" s="70"/>
      <c r="J146" s="70"/>
      <c r="K146" s="70"/>
      <c r="L146" s="70"/>
      <c r="M146" s="70"/>
      <c r="N146" s="70"/>
      <c r="O146" s="96"/>
      <c r="P146" s="258" t="s">
        <v>179</v>
      </c>
      <c r="Q146" s="258"/>
      <c r="R146" s="258"/>
      <c r="S146" s="261">
        <f>$V$3</f>
        <v>3.7268518518518519E-3</v>
      </c>
      <c r="T146" s="261"/>
      <c r="U146" s="81"/>
      <c r="V146" s="69"/>
      <c r="W146" s="69"/>
      <c r="X146" s="69"/>
      <c r="Y146" s="69"/>
      <c r="Z146" s="106">
        <f>VLOOKUP($AK$12,$AI$3:$AL$9,4,FALSE)</f>
        <v>42654</v>
      </c>
      <c r="AA146" s="106">
        <f>VLOOKUP($AK$13,$AI$3:$AL$9,4,FALSE)</f>
        <v>42657</v>
      </c>
      <c r="AB146" s="107">
        <f>VLOOKUP($AK$14,$AI$3:$AL$9,4,FALSE)</f>
        <v>42659</v>
      </c>
      <c r="AC146" s="37"/>
      <c r="AD146" s="41"/>
      <c r="AE146" s="41"/>
      <c r="AF146" s="41"/>
    </row>
    <row r="147" spans="1:32" ht="16" customHeight="1" x14ac:dyDescent="0.2">
      <c r="A147" s="37"/>
      <c r="B147" s="172">
        <v>1</v>
      </c>
      <c r="C147" s="173"/>
      <c r="D147" s="178">
        <f>Z146</f>
        <v>42654</v>
      </c>
      <c r="E147" s="179"/>
      <c r="F147" s="179"/>
      <c r="G147" s="179"/>
      <c r="H147" s="179"/>
      <c r="I147" s="179"/>
      <c r="J147" s="179"/>
      <c r="K147" s="179"/>
      <c r="L147" s="179"/>
      <c r="M147" s="179"/>
      <c r="N147" s="179"/>
      <c r="O147" s="178">
        <f>AA146</f>
        <v>42657</v>
      </c>
      <c r="P147" s="179"/>
      <c r="Q147" s="179"/>
      <c r="R147" s="179"/>
      <c r="S147" s="179"/>
      <c r="T147" s="179"/>
      <c r="U147" s="180"/>
      <c r="V147" s="179">
        <f>AB146</f>
        <v>42659</v>
      </c>
      <c r="W147" s="179"/>
      <c r="X147" s="179"/>
      <c r="Y147" s="179"/>
      <c r="Z147" s="179"/>
      <c r="AA147" s="179"/>
      <c r="AB147" s="181"/>
      <c r="AC147" s="37"/>
      <c r="AD147" s="41"/>
      <c r="AE147" s="41"/>
      <c r="AF147" s="41"/>
    </row>
    <row r="148" spans="1:32" ht="16" customHeight="1" x14ac:dyDescent="0.2">
      <c r="A148" s="37"/>
      <c r="B148" s="174"/>
      <c r="C148" s="175"/>
      <c r="D148" s="182" t="s">
        <v>99</v>
      </c>
      <c r="E148" s="183"/>
      <c r="F148" s="183"/>
      <c r="G148" s="184"/>
      <c r="H148" s="185" t="s">
        <v>101</v>
      </c>
      <c r="I148" s="183"/>
      <c r="J148" s="183"/>
      <c r="K148" s="184"/>
      <c r="L148" s="183" t="s">
        <v>100</v>
      </c>
      <c r="M148" s="183"/>
      <c r="N148" s="183"/>
      <c r="O148" s="182" t="s">
        <v>99</v>
      </c>
      <c r="P148" s="183"/>
      <c r="Q148" s="183"/>
      <c r="R148" s="183"/>
      <c r="S148" s="185" t="s">
        <v>100</v>
      </c>
      <c r="T148" s="183"/>
      <c r="U148" s="186"/>
      <c r="V148" s="183" t="s">
        <v>99</v>
      </c>
      <c r="W148" s="183"/>
      <c r="X148" s="183"/>
      <c r="Y148" s="183"/>
      <c r="Z148" s="185" t="s">
        <v>100</v>
      </c>
      <c r="AA148" s="183"/>
      <c r="AB148" s="187"/>
      <c r="AC148" s="104"/>
      <c r="AD148" s="30"/>
      <c r="AE148" s="41"/>
      <c r="AF148" s="41"/>
    </row>
    <row r="149" spans="1:32" ht="16" customHeight="1" x14ac:dyDescent="0.2">
      <c r="A149" s="37"/>
      <c r="B149" s="174"/>
      <c r="C149" s="175"/>
      <c r="D149" s="188" t="s">
        <v>110</v>
      </c>
      <c r="E149" s="189"/>
      <c r="F149" s="189"/>
      <c r="G149" s="190"/>
      <c r="H149" s="43" t="s">
        <v>113</v>
      </c>
      <c r="I149" s="43" t="s">
        <v>114</v>
      </c>
      <c r="J149" s="71" t="s">
        <v>115</v>
      </c>
      <c r="K149" s="53" t="s">
        <v>116</v>
      </c>
      <c r="L149" s="74" t="s">
        <v>96</v>
      </c>
      <c r="M149" s="191"/>
      <c r="N149" s="191"/>
      <c r="O149" s="188" t="s">
        <v>110</v>
      </c>
      <c r="P149" s="189"/>
      <c r="Q149" s="189"/>
      <c r="R149" s="189"/>
      <c r="S149" s="77" t="s">
        <v>96</v>
      </c>
      <c r="T149" s="191"/>
      <c r="U149" s="192"/>
      <c r="V149" s="189" t="s">
        <v>110</v>
      </c>
      <c r="W149" s="189"/>
      <c r="X149" s="189"/>
      <c r="Y149" s="189"/>
      <c r="Z149" s="77" t="s">
        <v>96</v>
      </c>
      <c r="AA149" s="191"/>
      <c r="AB149" s="193"/>
      <c r="AC149" s="37"/>
      <c r="AD149" s="41"/>
      <c r="AE149" s="41"/>
      <c r="AF149" s="41"/>
    </row>
    <row r="150" spans="1:32" ht="16" customHeight="1" x14ac:dyDescent="0.2">
      <c r="A150" s="37"/>
      <c r="B150" s="174"/>
      <c r="C150" s="175"/>
      <c r="D150" s="82" t="s">
        <v>53</v>
      </c>
      <c r="E150" s="41" t="s">
        <v>54</v>
      </c>
      <c r="F150" s="41" t="s">
        <v>90</v>
      </c>
      <c r="G150" s="53" t="s">
        <v>55</v>
      </c>
      <c r="H150" s="43" t="s">
        <v>102</v>
      </c>
      <c r="I150" s="43">
        <f>F151</f>
        <v>1.0551697530864197E-3</v>
      </c>
      <c r="J150" s="71"/>
      <c r="K150" s="52" t="str">
        <f>IF(J150="","",ABS(I150-J150))</f>
        <v/>
      </c>
      <c r="L150" s="75" t="s">
        <v>97</v>
      </c>
      <c r="M150" s="164"/>
      <c r="N150" s="164"/>
      <c r="O150" s="82" t="s">
        <v>54</v>
      </c>
      <c r="P150" s="41" t="s">
        <v>65</v>
      </c>
      <c r="Q150" s="67" t="s">
        <v>117</v>
      </c>
      <c r="R150" s="41" t="s">
        <v>116</v>
      </c>
      <c r="S150" s="78" t="s">
        <v>97</v>
      </c>
      <c r="T150" s="164"/>
      <c r="U150" s="168"/>
      <c r="V150" s="41" t="s">
        <v>54</v>
      </c>
      <c r="W150" s="41" t="s">
        <v>65</v>
      </c>
      <c r="X150" s="67" t="s">
        <v>117</v>
      </c>
      <c r="Y150" s="41" t="s">
        <v>116</v>
      </c>
      <c r="Z150" s="78" t="s">
        <v>97</v>
      </c>
      <c r="AA150" s="164"/>
      <c r="AB150" s="169"/>
      <c r="AC150" s="37"/>
      <c r="AD150" s="41"/>
      <c r="AE150" s="41"/>
      <c r="AF150" s="41"/>
    </row>
    <row r="151" spans="1:32" ht="16" customHeight="1" x14ac:dyDescent="0.2">
      <c r="A151" s="37"/>
      <c r="B151" s="174"/>
      <c r="C151" s="175"/>
      <c r="D151" s="82" t="s">
        <v>56</v>
      </c>
      <c r="E151" s="41">
        <v>400</v>
      </c>
      <c r="F151" s="43">
        <f>F143</f>
        <v>1.0551697530864197E-3</v>
      </c>
      <c r="G151" s="53" t="s">
        <v>57</v>
      </c>
      <c r="H151" s="43" t="s">
        <v>103</v>
      </c>
      <c r="I151" s="43">
        <f>I150</f>
        <v>1.0551697530864197E-3</v>
      </c>
      <c r="J151" s="71"/>
      <c r="K151" s="52" t="str">
        <f t="shared" ref="K151:K157" si="27">IF(J151="","",ABS(I151-J151))</f>
        <v/>
      </c>
      <c r="L151" s="75" t="s">
        <v>98</v>
      </c>
      <c r="M151" s="164"/>
      <c r="N151" s="164"/>
      <c r="O151" s="82" t="s">
        <v>118</v>
      </c>
      <c r="P151" s="43">
        <f>S143</f>
        <v>3.0324074074074073E-3</v>
      </c>
      <c r="Q151" s="71"/>
      <c r="R151" s="76" t="str">
        <f>IF(Q151="","",ABS(P151-Q151))</f>
        <v/>
      </c>
      <c r="S151" s="78" t="s">
        <v>98</v>
      </c>
      <c r="T151" s="164"/>
      <c r="U151" s="168"/>
      <c r="V151" s="41" t="s">
        <v>121</v>
      </c>
      <c r="W151" s="43">
        <f>S145</f>
        <v>3.2523148148148147E-3</v>
      </c>
      <c r="X151" s="71"/>
      <c r="Y151" s="52" t="str">
        <f>IF(X151="","",ABS(W151-X151))</f>
        <v/>
      </c>
      <c r="Z151" s="78" t="s">
        <v>98</v>
      </c>
      <c r="AA151" s="164"/>
      <c r="AB151" s="169"/>
      <c r="AC151" s="37"/>
      <c r="AD151" s="41"/>
      <c r="AE151" s="41"/>
      <c r="AF151" s="41"/>
    </row>
    <row r="152" spans="1:32" ht="16" customHeight="1" x14ac:dyDescent="0.2">
      <c r="A152" s="37"/>
      <c r="B152" s="174"/>
      <c r="C152" s="175"/>
      <c r="D152" s="165" t="s">
        <v>111</v>
      </c>
      <c r="E152" s="166"/>
      <c r="F152" s="166"/>
      <c r="G152" s="167"/>
      <c r="H152" s="43" t="s">
        <v>104</v>
      </c>
      <c r="I152" s="60">
        <f t="shared" ref="I152:I157" si="28">I151</f>
        <v>1.0551697530864197E-3</v>
      </c>
      <c r="J152" s="71"/>
      <c r="K152" s="52" t="str">
        <f t="shared" si="27"/>
        <v/>
      </c>
      <c r="L152" s="170" t="s">
        <v>112</v>
      </c>
      <c r="M152" s="171"/>
      <c r="N152" s="90"/>
      <c r="O152" s="165" t="s">
        <v>111</v>
      </c>
      <c r="P152" s="166"/>
      <c r="Q152" s="166"/>
      <c r="R152" s="166"/>
      <c r="S152" s="170" t="s">
        <v>112</v>
      </c>
      <c r="T152" s="171"/>
      <c r="U152" s="83"/>
      <c r="V152" s="166" t="s">
        <v>111</v>
      </c>
      <c r="W152" s="166"/>
      <c r="X152" s="166"/>
      <c r="Y152" s="167"/>
      <c r="Z152" s="170" t="s">
        <v>112</v>
      </c>
      <c r="AA152" s="171"/>
      <c r="AB152" s="80"/>
      <c r="AC152" s="37"/>
      <c r="AD152" s="41"/>
      <c r="AE152" s="41"/>
      <c r="AF152" s="41"/>
    </row>
    <row r="153" spans="1:32" ht="16" customHeight="1" x14ac:dyDescent="0.2">
      <c r="A153" s="37"/>
      <c r="B153" s="174"/>
      <c r="C153" s="175"/>
      <c r="D153" s="84"/>
      <c r="E153" s="43"/>
      <c r="F153" s="43"/>
      <c r="G153" s="53"/>
      <c r="H153" s="43" t="s">
        <v>105</v>
      </c>
      <c r="I153" s="60">
        <f t="shared" si="28"/>
        <v>1.0551697530864197E-3</v>
      </c>
      <c r="J153" s="71"/>
      <c r="K153" s="52" t="str">
        <f t="shared" si="27"/>
        <v/>
      </c>
      <c r="L153" s="163" t="s">
        <v>88</v>
      </c>
      <c r="M153" s="164"/>
      <c r="N153" s="164"/>
      <c r="O153" s="82"/>
      <c r="P153" s="41"/>
      <c r="Q153" s="41"/>
      <c r="R153" s="41"/>
      <c r="S153" s="163" t="s">
        <v>88</v>
      </c>
      <c r="T153" s="164"/>
      <c r="U153" s="168"/>
      <c r="V153" s="30"/>
      <c r="W153" s="30"/>
      <c r="X153" s="30"/>
      <c r="Y153" s="30"/>
      <c r="Z153" s="163" t="s">
        <v>88</v>
      </c>
      <c r="AA153" s="164"/>
      <c r="AB153" s="169"/>
      <c r="AC153" s="37"/>
      <c r="AD153" s="41"/>
      <c r="AE153" s="41"/>
      <c r="AF153" s="41"/>
    </row>
    <row r="154" spans="1:32" ht="16" customHeight="1" x14ac:dyDescent="0.2">
      <c r="A154" s="37"/>
      <c r="B154" s="174"/>
      <c r="C154" s="175"/>
      <c r="D154" s="84"/>
      <c r="E154" s="43"/>
      <c r="F154" s="43"/>
      <c r="G154" s="53"/>
      <c r="H154" s="43" t="s">
        <v>106</v>
      </c>
      <c r="I154" s="60">
        <f t="shared" si="28"/>
        <v>1.0551697530864197E-3</v>
      </c>
      <c r="J154" s="71"/>
      <c r="K154" s="52" t="str">
        <f t="shared" si="27"/>
        <v/>
      </c>
      <c r="L154" s="163"/>
      <c r="M154" s="164"/>
      <c r="N154" s="164"/>
      <c r="O154" s="82"/>
      <c r="P154" s="41"/>
      <c r="Q154" s="41"/>
      <c r="R154" s="41"/>
      <c r="S154" s="163"/>
      <c r="T154" s="164"/>
      <c r="U154" s="168"/>
      <c r="V154" s="30"/>
      <c r="W154" s="30"/>
      <c r="X154" s="30"/>
      <c r="Y154" s="30"/>
      <c r="Z154" s="163"/>
      <c r="AA154" s="164"/>
      <c r="AB154" s="169"/>
      <c r="AC154" s="37"/>
      <c r="AD154" s="41"/>
      <c r="AE154" s="41"/>
      <c r="AF154" s="41"/>
    </row>
    <row r="155" spans="1:32" ht="16" customHeight="1" x14ac:dyDescent="0.2">
      <c r="A155" s="37"/>
      <c r="B155" s="174"/>
      <c r="C155" s="175"/>
      <c r="D155" s="84"/>
      <c r="E155" s="43"/>
      <c r="F155" s="43"/>
      <c r="G155" s="53"/>
      <c r="H155" s="43" t="s">
        <v>107</v>
      </c>
      <c r="I155" s="60">
        <f t="shared" si="28"/>
        <v>1.0551697530864197E-3</v>
      </c>
      <c r="J155" s="71"/>
      <c r="K155" s="52" t="str">
        <f t="shared" si="27"/>
        <v/>
      </c>
      <c r="L155" s="41"/>
      <c r="M155" s="41"/>
      <c r="N155" s="30"/>
      <c r="O155" s="82"/>
      <c r="P155" s="41"/>
      <c r="Q155" s="41"/>
      <c r="R155" s="41"/>
      <c r="S155" s="50"/>
      <c r="T155" s="41"/>
      <c r="U155" s="85"/>
      <c r="V155" s="30"/>
      <c r="W155" s="30"/>
      <c r="X155" s="30"/>
      <c r="Y155" s="30"/>
      <c r="Z155" s="50"/>
      <c r="AA155" s="41"/>
      <c r="AB155" s="35"/>
      <c r="AC155" s="37"/>
      <c r="AD155" s="41"/>
      <c r="AE155" s="41"/>
      <c r="AF155" s="41"/>
    </row>
    <row r="156" spans="1:32" ht="16" customHeight="1" x14ac:dyDescent="0.2">
      <c r="A156" s="37"/>
      <c r="B156" s="174"/>
      <c r="C156" s="175"/>
      <c r="D156" s="84"/>
      <c r="E156" s="43"/>
      <c r="F156" s="43"/>
      <c r="G156" s="53"/>
      <c r="H156" s="43" t="s">
        <v>108</v>
      </c>
      <c r="I156" s="60">
        <f t="shared" si="28"/>
        <v>1.0551697530864197E-3</v>
      </c>
      <c r="J156" s="71"/>
      <c r="K156" s="52" t="str">
        <f t="shared" si="27"/>
        <v/>
      </c>
      <c r="L156" s="41"/>
      <c r="M156" s="41"/>
      <c r="N156" s="41"/>
      <c r="O156" s="82"/>
      <c r="P156" s="41"/>
      <c r="Q156" s="41"/>
      <c r="R156" s="41"/>
      <c r="S156" s="50"/>
      <c r="T156" s="41"/>
      <c r="U156" s="86"/>
      <c r="V156" s="30"/>
      <c r="W156" s="30"/>
      <c r="X156" s="30"/>
      <c r="Y156" s="30"/>
      <c r="Z156" s="50"/>
      <c r="AA156" s="41"/>
      <c r="AB156" s="44"/>
      <c r="AC156" s="37"/>
      <c r="AD156" s="41"/>
      <c r="AE156" s="41"/>
      <c r="AF156" s="41"/>
    </row>
    <row r="157" spans="1:32" ht="16" customHeight="1" thickBot="1" x14ac:dyDescent="0.25">
      <c r="A157" s="37"/>
      <c r="B157" s="198"/>
      <c r="C157" s="199"/>
      <c r="D157" s="87"/>
      <c r="E157" s="40"/>
      <c r="F157" s="40"/>
      <c r="G157" s="51"/>
      <c r="H157" s="40" t="s">
        <v>109</v>
      </c>
      <c r="I157" s="60">
        <f t="shared" si="28"/>
        <v>1.0551697530864197E-3</v>
      </c>
      <c r="J157" s="72"/>
      <c r="K157" s="52" t="str">
        <f t="shared" si="27"/>
        <v/>
      </c>
      <c r="L157" s="194"/>
      <c r="M157" s="195"/>
      <c r="N157" s="195"/>
      <c r="O157" s="97"/>
      <c r="P157" s="42"/>
      <c r="Q157" s="42"/>
      <c r="R157" s="42"/>
      <c r="S157" s="194"/>
      <c r="T157" s="195"/>
      <c r="U157" s="196"/>
      <c r="V157" s="34"/>
      <c r="W157" s="34"/>
      <c r="X157" s="34"/>
      <c r="Y157" s="34"/>
      <c r="Z157" s="194"/>
      <c r="AA157" s="195"/>
      <c r="AB157" s="197"/>
      <c r="AC157" s="37"/>
      <c r="AD157" s="41"/>
      <c r="AE157" s="41"/>
      <c r="AF157" s="41"/>
    </row>
    <row r="158" spans="1:32" ht="16" customHeight="1" x14ac:dyDescent="0.2">
      <c r="A158" s="37"/>
      <c r="B158" s="172">
        <f>B147+1</f>
        <v>2</v>
      </c>
      <c r="C158" s="173"/>
      <c r="D158" s="178">
        <f>D147+(B158-1)*7</f>
        <v>42661</v>
      </c>
      <c r="E158" s="179"/>
      <c r="F158" s="179"/>
      <c r="G158" s="179"/>
      <c r="H158" s="179"/>
      <c r="I158" s="179"/>
      <c r="J158" s="179"/>
      <c r="K158" s="179"/>
      <c r="L158" s="179"/>
      <c r="M158" s="179"/>
      <c r="N158" s="179"/>
      <c r="O158" s="178">
        <f>O147+(B158-1)*7</f>
        <v>42664</v>
      </c>
      <c r="P158" s="179"/>
      <c r="Q158" s="179"/>
      <c r="R158" s="179"/>
      <c r="S158" s="179"/>
      <c r="T158" s="179"/>
      <c r="U158" s="180"/>
      <c r="V158" s="179">
        <f>V147+(B158-1)*7</f>
        <v>42666</v>
      </c>
      <c r="W158" s="179"/>
      <c r="X158" s="179"/>
      <c r="Y158" s="179"/>
      <c r="Z158" s="179"/>
      <c r="AA158" s="179"/>
      <c r="AB158" s="181"/>
      <c r="AC158" s="37"/>
      <c r="AD158" s="41"/>
      <c r="AE158" s="41"/>
      <c r="AF158" s="41"/>
    </row>
    <row r="159" spans="1:32" ht="16" customHeight="1" x14ac:dyDescent="0.2">
      <c r="A159" s="37"/>
      <c r="B159" s="174"/>
      <c r="C159" s="175"/>
      <c r="D159" s="182" t="s">
        <v>99</v>
      </c>
      <c r="E159" s="183"/>
      <c r="F159" s="183"/>
      <c r="G159" s="184"/>
      <c r="H159" s="185" t="s">
        <v>101</v>
      </c>
      <c r="I159" s="183"/>
      <c r="J159" s="183"/>
      <c r="K159" s="184"/>
      <c r="L159" s="183" t="s">
        <v>100</v>
      </c>
      <c r="M159" s="183"/>
      <c r="N159" s="183"/>
      <c r="O159" s="182" t="s">
        <v>99</v>
      </c>
      <c r="P159" s="183"/>
      <c r="Q159" s="183"/>
      <c r="R159" s="183"/>
      <c r="S159" s="185" t="s">
        <v>100</v>
      </c>
      <c r="T159" s="183"/>
      <c r="U159" s="186"/>
      <c r="V159" s="183" t="s">
        <v>99</v>
      </c>
      <c r="W159" s="183"/>
      <c r="X159" s="183"/>
      <c r="Y159" s="183"/>
      <c r="Z159" s="185" t="s">
        <v>100</v>
      </c>
      <c r="AA159" s="183"/>
      <c r="AB159" s="187"/>
      <c r="AC159" s="37"/>
      <c r="AD159" s="41"/>
      <c r="AE159" s="41"/>
      <c r="AF159" s="41"/>
    </row>
    <row r="160" spans="1:32" ht="16" customHeight="1" x14ac:dyDescent="0.2">
      <c r="A160" s="37"/>
      <c r="B160" s="174"/>
      <c r="C160" s="175"/>
      <c r="D160" s="188" t="s">
        <v>110</v>
      </c>
      <c r="E160" s="189"/>
      <c r="F160" s="189"/>
      <c r="G160" s="190"/>
      <c r="H160" s="43" t="s">
        <v>113</v>
      </c>
      <c r="I160" s="43" t="s">
        <v>114</v>
      </c>
      <c r="J160" s="71" t="s">
        <v>115</v>
      </c>
      <c r="K160" s="53" t="s">
        <v>116</v>
      </c>
      <c r="L160" s="74" t="s">
        <v>96</v>
      </c>
      <c r="M160" s="191"/>
      <c r="N160" s="191"/>
      <c r="O160" s="188" t="s">
        <v>110</v>
      </c>
      <c r="P160" s="189"/>
      <c r="Q160" s="189"/>
      <c r="R160" s="189"/>
      <c r="S160" s="77" t="s">
        <v>96</v>
      </c>
      <c r="T160" s="191"/>
      <c r="U160" s="192"/>
      <c r="V160" s="189" t="s">
        <v>110</v>
      </c>
      <c r="W160" s="189"/>
      <c r="X160" s="189"/>
      <c r="Y160" s="189"/>
      <c r="Z160" s="77" t="s">
        <v>96</v>
      </c>
      <c r="AA160" s="191"/>
      <c r="AB160" s="193"/>
      <c r="AC160" s="37"/>
      <c r="AD160" s="41"/>
      <c r="AE160" s="41"/>
      <c r="AF160" s="41"/>
    </row>
    <row r="161" spans="1:32" ht="16" customHeight="1" x14ac:dyDescent="0.2">
      <c r="A161" s="37"/>
      <c r="B161" s="174"/>
      <c r="C161" s="175"/>
      <c r="D161" s="82" t="s">
        <v>53</v>
      </c>
      <c r="E161" s="41" t="s">
        <v>54</v>
      </c>
      <c r="F161" s="41" t="s">
        <v>90</v>
      </c>
      <c r="G161" s="53" t="s">
        <v>55</v>
      </c>
      <c r="H161" s="43" t="s">
        <v>102</v>
      </c>
      <c r="I161" s="43">
        <f>F162</f>
        <v>2.1566358024691359E-3</v>
      </c>
      <c r="J161" s="71"/>
      <c r="K161" s="52" t="str">
        <f>IF(J161="","",ABS(I161-J161))</f>
        <v/>
      </c>
      <c r="L161" s="75" t="s">
        <v>97</v>
      </c>
      <c r="M161" s="164"/>
      <c r="N161" s="164"/>
      <c r="O161" s="82" t="s">
        <v>54</v>
      </c>
      <c r="P161" s="41" t="s">
        <v>65</v>
      </c>
      <c r="Q161" s="67" t="s">
        <v>117</v>
      </c>
      <c r="R161" s="41" t="s">
        <v>116</v>
      </c>
      <c r="S161" s="78" t="s">
        <v>97</v>
      </c>
      <c r="T161" s="164"/>
      <c r="U161" s="168"/>
      <c r="V161" s="41" t="s">
        <v>54</v>
      </c>
      <c r="W161" s="41" t="s">
        <v>65</v>
      </c>
      <c r="X161" s="67" t="s">
        <v>117</v>
      </c>
      <c r="Y161" s="41" t="s">
        <v>116</v>
      </c>
      <c r="Z161" s="78" t="s">
        <v>97</v>
      </c>
      <c r="AA161" s="164"/>
      <c r="AB161" s="169"/>
      <c r="AC161" s="37"/>
      <c r="AD161" s="41"/>
      <c r="AE161" s="41"/>
      <c r="AF161" s="41"/>
    </row>
    <row r="162" spans="1:32" ht="16" customHeight="1" x14ac:dyDescent="0.2">
      <c r="A162" s="37"/>
      <c r="B162" s="174"/>
      <c r="C162" s="175"/>
      <c r="D162" s="82" t="s">
        <v>58</v>
      </c>
      <c r="E162" s="41">
        <v>800</v>
      </c>
      <c r="F162" s="43">
        <f>F145</f>
        <v>2.1566358024691359E-3</v>
      </c>
      <c r="G162" s="53" t="s">
        <v>57</v>
      </c>
      <c r="H162" s="43" t="s">
        <v>103</v>
      </c>
      <c r="I162" s="43">
        <f>I161</f>
        <v>2.1566358024691359E-3</v>
      </c>
      <c r="J162" s="71"/>
      <c r="K162" s="52" t="str">
        <f t="shared" ref="K162:K165" si="29">IF(J162="","",ABS(I162-J162))</f>
        <v/>
      </c>
      <c r="L162" s="75" t="s">
        <v>98</v>
      </c>
      <c r="M162" s="164"/>
      <c r="N162" s="164"/>
      <c r="O162" s="82" t="s">
        <v>118</v>
      </c>
      <c r="P162" s="43">
        <f>S143</f>
        <v>3.0324074074074073E-3</v>
      </c>
      <c r="Q162" s="71"/>
      <c r="R162" s="52" t="str">
        <f>IF(Q162="","",ABS(P162-Q162))</f>
        <v/>
      </c>
      <c r="S162" s="78" t="s">
        <v>98</v>
      </c>
      <c r="T162" s="164"/>
      <c r="U162" s="168"/>
      <c r="V162" s="41" t="s">
        <v>124</v>
      </c>
      <c r="W162" s="43">
        <f>S145</f>
        <v>3.2523148148148147E-3</v>
      </c>
      <c r="X162" s="71"/>
      <c r="Y162" s="52" t="str">
        <f>IF(X162="","",ABS(W162-X162))</f>
        <v/>
      </c>
      <c r="Z162" s="78" t="s">
        <v>98</v>
      </c>
      <c r="AA162" s="164"/>
      <c r="AB162" s="169"/>
      <c r="AC162" s="37"/>
      <c r="AD162" s="41"/>
      <c r="AE162" s="41"/>
      <c r="AF162" s="41"/>
    </row>
    <row r="163" spans="1:32" ht="16" customHeight="1" x14ac:dyDescent="0.2">
      <c r="A163" s="37"/>
      <c r="B163" s="174"/>
      <c r="C163" s="175"/>
      <c r="D163" s="165" t="s">
        <v>111</v>
      </c>
      <c r="E163" s="166"/>
      <c r="F163" s="166"/>
      <c r="G163" s="167"/>
      <c r="H163" s="43" t="s">
        <v>104</v>
      </c>
      <c r="I163" s="60">
        <f t="shared" ref="I163:I165" si="30">I162</f>
        <v>2.1566358024691359E-3</v>
      </c>
      <c r="J163" s="71"/>
      <c r="K163" s="52" t="str">
        <f t="shared" si="29"/>
        <v/>
      </c>
      <c r="L163" s="170" t="s">
        <v>112</v>
      </c>
      <c r="M163" s="171"/>
      <c r="N163" s="90"/>
      <c r="O163" s="82" t="s">
        <v>122</v>
      </c>
      <c r="P163" s="43">
        <f>S146</f>
        <v>3.7268518518518519E-3</v>
      </c>
      <c r="Q163" s="71"/>
      <c r="R163" s="52" t="str">
        <f>IF(Q163="","",ABS(P163-Q163))</f>
        <v/>
      </c>
      <c r="S163" s="170" t="s">
        <v>112</v>
      </c>
      <c r="T163" s="171"/>
      <c r="U163" s="83"/>
      <c r="V163" s="166" t="s">
        <v>111</v>
      </c>
      <c r="W163" s="166"/>
      <c r="X163" s="166"/>
      <c r="Y163" s="167"/>
      <c r="Z163" s="170" t="s">
        <v>112</v>
      </c>
      <c r="AA163" s="171"/>
      <c r="AB163" s="80"/>
      <c r="AC163" s="37"/>
      <c r="AD163" s="41"/>
      <c r="AE163" s="41"/>
      <c r="AF163" s="41"/>
    </row>
    <row r="164" spans="1:32" ht="16" customHeight="1" x14ac:dyDescent="0.2">
      <c r="A164" s="37"/>
      <c r="B164" s="174"/>
      <c r="C164" s="175"/>
      <c r="D164" s="84"/>
      <c r="E164" s="43"/>
      <c r="F164" s="43"/>
      <c r="G164" s="53"/>
      <c r="H164" s="43" t="s">
        <v>105</v>
      </c>
      <c r="I164" s="60">
        <f t="shared" si="30"/>
        <v>2.1566358024691359E-3</v>
      </c>
      <c r="J164" s="71"/>
      <c r="K164" s="52" t="str">
        <f t="shared" si="29"/>
        <v/>
      </c>
      <c r="L164" s="163" t="s">
        <v>88</v>
      </c>
      <c r="M164" s="164"/>
      <c r="N164" s="164"/>
      <c r="O164" s="82" t="s">
        <v>118</v>
      </c>
      <c r="P164" s="43">
        <f>P162</f>
        <v>3.0324074074074073E-3</v>
      </c>
      <c r="Q164" s="71"/>
      <c r="R164" s="52" t="str">
        <f>IF(Q164="","",ABS(P164-Q164))</f>
        <v/>
      </c>
      <c r="S164" s="163" t="s">
        <v>88</v>
      </c>
      <c r="T164" s="164"/>
      <c r="U164" s="168"/>
      <c r="V164" s="30"/>
      <c r="W164" s="30"/>
      <c r="X164" s="30"/>
      <c r="Y164" s="30"/>
      <c r="Z164" s="163" t="s">
        <v>88</v>
      </c>
      <c r="AA164" s="164"/>
      <c r="AB164" s="169"/>
      <c r="AC164" s="37"/>
      <c r="AD164" s="41"/>
      <c r="AE164" s="41"/>
      <c r="AF164" s="41"/>
    </row>
    <row r="165" spans="1:32" ht="16" customHeight="1" thickBot="1" x14ac:dyDescent="0.25">
      <c r="A165" s="37"/>
      <c r="B165" s="174"/>
      <c r="C165" s="175"/>
      <c r="D165" s="84"/>
      <c r="E165" s="43"/>
      <c r="F165" s="43"/>
      <c r="G165" s="53"/>
      <c r="H165" s="43" t="s">
        <v>106</v>
      </c>
      <c r="I165" s="60">
        <f t="shared" si="30"/>
        <v>2.1566358024691359E-3</v>
      </c>
      <c r="J165" s="71"/>
      <c r="K165" s="52" t="str">
        <f t="shared" si="29"/>
        <v/>
      </c>
      <c r="L165" s="163"/>
      <c r="M165" s="164"/>
      <c r="N165" s="164"/>
      <c r="O165" s="165" t="s">
        <v>111</v>
      </c>
      <c r="P165" s="166"/>
      <c r="Q165" s="166"/>
      <c r="R165" s="167"/>
      <c r="S165" s="163"/>
      <c r="T165" s="164"/>
      <c r="U165" s="168"/>
      <c r="V165" s="30"/>
      <c r="W165" s="30"/>
      <c r="X165" s="30"/>
      <c r="Y165" s="30"/>
      <c r="Z165" s="163"/>
      <c r="AA165" s="164"/>
      <c r="AB165" s="169"/>
      <c r="AC165" s="37"/>
      <c r="AD165" s="41"/>
      <c r="AE165" s="41"/>
      <c r="AF165" s="41"/>
    </row>
    <row r="166" spans="1:32" ht="16" customHeight="1" x14ac:dyDescent="0.2">
      <c r="A166" s="37"/>
      <c r="B166" s="172">
        <f>B158+1</f>
        <v>3</v>
      </c>
      <c r="C166" s="173"/>
      <c r="D166" s="178">
        <f>D147+(B166-1)*7</f>
        <v>42668</v>
      </c>
      <c r="E166" s="179"/>
      <c r="F166" s="179"/>
      <c r="G166" s="179"/>
      <c r="H166" s="179"/>
      <c r="I166" s="179"/>
      <c r="J166" s="179"/>
      <c r="K166" s="179"/>
      <c r="L166" s="179"/>
      <c r="M166" s="179"/>
      <c r="N166" s="179"/>
      <c r="O166" s="178">
        <f>O147+(B166-1)*7</f>
        <v>42671</v>
      </c>
      <c r="P166" s="179"/>
      <c r="Q166" s="179"/>
      <c r="R166" s="179"/>
      <c r="S166" s="179"/>
      <c r="T166" s="179"/>
      <c r="U166" s="180"/>
      <c r="V166" s="179">
        <f>V147+(B166-1)*7</f>
        <v>42673</v>
      </c>
      <c r="W166" s="179"/>
      <c r="X166" s="179"/>
      <c r="Y166" s="179"/>
      <c r="Z166" s="179"/>
      <c r="AA166" s="179"/>
      <c r="AB166" s="181"/>
      <c r="AC166" s="37"/>
      <c r="AD166" s="41"/>
      <c r="AE166" s="41"/>
      <c r="AF166" s="41"/>
    </row>
    <row r="167" spans="1:32" ht="16" customHeight="1" x14ac:dyDescent="0.2">
      <c r="A167" s="37"/>
      <c r="B167" s="174"/>
      <c r="C167" s="175"/>
      <c r="D167" s="182" t="s">
        <v>99</v>
      </c>
      <c r="E167" s="183"/>
      <c r="F167" s="183"/>
      <c r="G167" s="184"/>
      <c r="H167" s="185" t="s">
        <v>101</v>
      </c>
      <c r="I167" s="183"/>
      <c r="J167" s="183"/>
      <c r="K167" s="184"/>
      <c r="L167" s="183" t="s">
        <v>100</v>
      </c>
      <c r="M167" s="183"/>
      <c r="N167" s="183"/>
      <c r="O167" s="182" t="s">
        <v>99</v>
      </c>
      <c r="P167" s="183"/>
      <c r="Q167" s="183"/>
      <c r="R167" s="183"/>
      <c r="S167" s="185" t="s">
        <v>100</v>
      </c>
      <c r="T167" s="183"/>
      <c r="U167" s="186"/>
      <c r="V167" s="183" t="s">
        <v>99</v>
      </c>
      <c r="W167" s="183"/>
      <c r="X167" s="183"/>
      <c r="Y167" s="183"/>
      <c r="Z167" s="185" t="s">
        <v>100</v>
      </c>
      <c r="AA167" s="183"/>
      <c r="AB167" s="187"/>
      <c r="AC167" s="37"/>
      <c r="AD167" s="41"/>
      <c r="AE167" s="41"/>
      <c r="AF167" s="41"/>
    </row>
    <row r="168" spans="1:32" ht="16" customHeight="1" x14ac:dyDescent="0.2">
      <c r="A168" s="37"/>
      <c r="B168" s="174"/>
      <c r="C168" s="175"/>
      <c r="D168" s="188" t="s">
        <v>110</v>
      </c>
      <c r="E168" s="189"/>
      <c r="F168" s="189"/>
      <c r="G168" s="190"/>
      <c r="H168" s="43" t="s">
        <v>113</v>
      </c>
      <c r="I168" s="43" t="s">
        <v>114</v>
      </c>
      <c r="J168" s="71" t="s">
        <v>115</v>
      </c>
      <c r="K168" s="53" t="s">
        <v>116</v>
      </c>
      <c r="L168" s="74" t="s">
        <v>96</v>
      </c>
      <c r="M168" s="191"/>
      <c r="N168" s="191"/>
      <c r="O168" s="188" t="s">
        <v>110</v>
      </c>
      <c r="P168" s="189"/>
      <c r="Q168" s="189"/>
      <c r="R168" s="189"/>
      <c r="S168" s="77" t="s">
        <v>96</v>
      </c>
      <c r="T168" s="191"/>
      <c r="U168" s="192"/>
      <c r="V168" s="189" t="s">
        <v>110</v>
      </c>
      <c r="W168" s="189"/>
      <c r="X168" s="189"/>
      <c r="Y168" s="189"/>
      <c r="Z168" s="77" t="s">
        <v>96</v>
      </c>
      <c r="AA168" s="191"/>
      <c r="AB168" s="193"/>
      <c r="AC168" s="37"/>
      <c r="AD168" s="41"/>
      <c r="AE168" s="41"/>
      <c r="AF168" s="41"/>
    </row>
    <row r="169" spans="1:32" ht="16" customHeight="1" x14ac:dyDescent="0.2">
      <c r="A169" s="37"/>
      <c r="B169" s="174"/>
      <c r="C169" s="175"/>
      <c r="D169" s="82" t="s">
        <v>53</v>
      </c>
      <c r="E169" s="41" t="s">
        <v>54</v>
      </c>
      <c r="F169" s="41" t="s">
        <v>90</v>
      </c>
      <c r="G169" s="53" t="s">
        <v>55</v>
      </c>
      <c r="H169" s="43" t="s">
        <v>102</v>
      </c>
      <c r="I169" s="43">
        <f>F170</f>
        <v>4.5076195987654322E-3</v>
      </c>
      <c r="J169" s="71"/>
      <c r="K169" s="52" t="str">
        <f>IF(J169="","",ABS(I169-J169))</f>
        <v/>
      </c>
      <c r="L169" s="75" t="s">
        <v>97</v>
      </c>
      <c r="M169" s="164"/>
      <c r="N169" s="164"/>
      <c r="O169" s="82" t="s">
        <v>54</v>
      </c>
      <c r="P169" s="41" t="s">
        <v>65</v>
      </c>
      <c r="Q169" s="67" t="s">
        <v>117</v>
      </c>
      <c r="R169" s="41" t="s">
        <v>116</v>
      </c>
      <c r="S169" s="78" t="s">
        <v>97</v>
      </c>
      <c r="T169" s="164"/>
      <c r="U169" s="168"/>
      <c r="V169" s="41" t="s">
        <v>54</v>
      </c>
      <c r="W169" s="41" t="s">
        <v>65</v>
      </c>
      <c r="X169" s="67" t="s">
        <v>117</v>
      </c>
      <c r="Y169" s="41" t="s">
        <v>116</v>
      </c>
      <c r="Z169" s="78" t="s">
        <v>97</v>
      </c>
      <c r="AA169" s="164"/>
      <c r="AB169" s="169"/>
      <c r="AC169" s="37"/>
      <c r="AD169" s="41"/>
      <c r="AE169" s="41"/>
      <c r="AF169" s="41"/>
    </row>
    <row r="170" spans="1:32" ht="16" customHeight="1" x14ac:dyDescent="0.2">
      <c r="A170" s="37"/>
      <c r="B170" s="174"/>
      <c r="C170" s="175"/>
      <c r="D170" s="82" t="s">
        <v>59</v>
      </c>
      <c r="E170" s="41">
        <v>1600</v>
      </c>
      <c r="F170" s="43">
        <f>L144</f>
        <v>4.5076195987654322E-3</v>
      </c>
      <c r="G170" s="53" t="s">
        <v>57</v>
      </c>
      <c r="H170" s="43" t="s">
        <v>103</v>
      </c>
      <c r="I170" s="43">
        <f>F170</f>
        <v>4.5076195987654322E-3</v>
      </c>
      <c r="J170" s="71"/>
      <c r="K170" s="52" t="str">
        <f t="shared" ref="K170:K173" si="31">IF(J170="","",ABS(I170-J170))</f>
        <v/>
      </c>
      <c r="L170" s="75" t="s">
        <v>98</v>
      </c>
      <c r="M170" s="164"/>
      <c r="N170" s="164"/>
      <c r="O170" s="82" t="s">
        <v>123</v>
      </c>
      <c r="P170" s="43">
        <f>S144</f>
        <v>3.1481481481481482E-3</v>
      </c>
      <c r="Q170" s="71"/>
      <c r="R170" s="52" t="str">
        <f>IF(Q170="","",ABS(P170-Q170))</f>
        <v/>
      </c>
      <c r="S170" s="78" t="s">
        <v>98</v>
      </c>
      <c r="T170" s="164"/>
      <c r="U170" s="168"/>
      <c r="V170" s="41" t="s">
        <v>128</v>
      </c>
      <c r="W170" s="43">
        <f>S145</f>
        <v>3.2523148148148147E-3</v>
      </c>
      <c r="X170" s="71"/>
      <c r="Y170" s="52" t="str">
        <f>IF(X170="","",ABS(W170-X170))</f>
        <v/>
      </c>
      <c r="Z170" s="78" t="s">
        <v>98</v>
      </c>
      <c r="AA170" s="164"/>
      <c r="AB170" s="169"/>
      <c r="AC170" s="37"/>
      <c r="AD170" s="41"/>
      <c r="AE170" s="41"/>
      <c r="AF170" s="41"/>
    </row>
    <row r="171" spans="1:32" ht="16" customHeight="1" x14ac:dyDescent="0.2">
      <c r="A171" s="37"/>
      <c r="B171" s="174"/>
      <c r="C171" s="175"/>
      <c r="D171" s="82" t="s">
        <v>60</v>
      </c>
      <c r="E171" s="41">
        <v>800</v>
      </c>
      <c r="F171" s="43">
        <f>F145</f>
        <v>2.1566358024691359E-3</v>
      </c>
      <c r="G171" s="53" t="s">
        <v>57</v>
      </c>
      <c r="H171" s="43" t="s">
        <v>104</v>
      </c>
      <c r="I171" s="43">
        <f>F171</f>
        <v>2.1566358024691359E-3</v>
      </c>
      <c r="J171" s="71"/>
      <c r="K171" s="52" t="str">
        <f t="shared" si="31"/>
        <v/>
      </c>
      <c r="L171" s="170" t="s">
        <v>112</v>
      </c>
      <c r="M171" s="171"/>
      <c r="N171" s="90"/>
      <c r="O171" s="165" t="s">
        <v>111</v>
      </c>
      <c r="P171" s="166"/>
      <c r="Q171" s="166"/>
      <c r="R171" s="167"/>
      <c r="S171" s="170" t="s">
        <v>112</v>
      </c>
      <c r="T171" s="171"/>
      <c r="U171" s="83"/>
      <c r="V171" s="166" t="s">
        <v>111</v>
      </c>
      <c r="W171" s="166"/>
      <c r="X171" s="166"/>
      <c r="Y171" s="167"/>
      <c r="Z171" s="170" t="s">
        <v>112</v>
      </c>
      <c r="AA171" s="171"/>
      <c r="AB171" s="80"/>
      <c r="AC171" s="37"/>
      <c r="AD171" s="41"/>
      <c r="AE171" s="41"/>
      <c r="AF171" s="41"/>
    </row>
    <row r="172" spans="1:32" ht="16" customHeight="1" x14ac:dyDescent="0.2">
      <c r="A172" s="37"/>
      <c r="B172" s="174"/>
      <c r="C172" s="175"/>
      <c r="D172" s="165" t="s">
        <v>111</v>
      </c>
      <c r="E172" s="166"/>
      <c r="F172" s="166"/>
      <c r="G172" s="167"/>
      <c r="H172" s="43"/>
      <c r="I172" s="43"/>
      <c r="J172" s="71"/>
      <c r="K172" s="52" t="str">
        <f t="shared" si="31"/>
        <v/>
      </c>
      <c r="L172" s="163" t="s">
        <v>88</v>
      </c>
      <c r="M172" s="164"/>
      <c r="N172" s="164"/>
      <c r="O172" s="82"/>
      <c r="P172" s="43"/>
      <c r="Q172" s="43"/>
      <c r="R172" s="52"/>
      <c r="S172" s="163" t="s">
        <v>88</v>
      </c>
      <c r="T172" s="164"/>
      <c r="U172" s="168"/>
      <c r="V172" s="30"/>
      <c r="W172" s="30"/>
      <c r="X172" s="30"/>
      <c r="Y172" s="30"/>
      <c r="Z172" s="163" t="s">
        <v>88</v>
      </c>
      <c r="AA172" s="164"/>
      <c r="AB172" s="169"/>
      <c r="AC172" s="37"/>
      <c r="AD172" s="41"/>
      <c r="AE172" s="41"/>
      <c r="AF172" s="41"/>
    </row>
    <row r="173" spans="1:32" ht="16" customHeight="1" thickBot="1" x14ac:dyDescent="0.25">
      <c r="A173" s="37"/>
      <c r="B173" s="174"/>
      <c r="C173" s="175"/>
      <c r="D173" s="84"/>
      <c r="E173" s="43"/>
      <c r="F173" s="43"/>
      <c r="G173" s="53"/>
      <c r="H173" s="43"/>
      <c r="I173" s="43"/>
      <c r="J173" s="71"/>
      <c r="K173" s="52" t="str">
        <f t="shared" si="31"/>
        <v/>
      </c>
      <c r="L173" s="163"/>
      <c r="M173" s="164"/>
      <c r="N173" s="164"/>
      <c r="O173" s="298"/>
      <c r="P173" s="195"/>
      <c r="Q173" s="195"/>
      <c r="R173" s="299"/>
      <c r="S173" s="163"/>
      <c r="T173" s="164"/>
      <c r="U173" s="168"/>
      <c r="V173" s="30"/>
      <c r="W173" s="30"/>
      <c r="X173" s="30"/>
      <c r="Y173" s="30"/>
      <c r="Z173" s="163"/>
      <c r="AA173" s="164"/>
      <c r="AB173" s="169"/>
      <c r="AC173" s="37"/>
      <c r="AD173" s="41"/>
      <c r="AE173" s="41"/>
      <c r="AF173" s="41"/>
    </row>
    <row r="174" spans="1:32" ht="16" customHeight="1" x14ac:dyDescent="0.2">
      <c r="A174" s="37"/>
      <c r="B174" s="172">
        <f>B166+1</f>
        <v>4</v>
      </c>
      <c r="C174" s="173"/>
      <c r="D174" s="178">
        <f>D147+(B174-1)*7</f>
        <v>42675</v>
      </c>
      <c r="E174" s="179"/>
      <c r="F174" s="179"/>
      <c r="G174" s="179"/>
      <c r="H174" s="179"/>
      <c r="I174" s="179"/>
      <c r="J174" s="179"/>
      <c r="K174" s="179"/>
      <c r="L174" s="179"/>
      <c r="M174" s="179"/>
      <c r="N174" s="179"/>
      <c r="O174" s="178">
        <f>O147+(B174-1)*7</f>
        <v>42678</v>
      </c>
      <c r="P174" s="179"/>
      <c r="Q174" s="179"/>
      <c r="R174" s="179"/>
      <c r="S174" s="179"/>
      <c r="T174" s="179"/>
      <c r="U174" s="180"/>
      <c r="V174" s="179">
        <f>V147+(B174-1)*7</f>
        <v>42680</v>
      </c>
      <c r="W174" s="179"/>
      <c r="X174" s="179"/>
      <c r="Y174" s="179"/>
      <c r="Z174" s="179"/>
      <c r="AA174" s="179"/>
      <c r="AB174" s="181"/>
      <c r="AC174" s="37"/>
      <c r="AD174" s="41"/>
      <c r="AE174" s="41"/>
      <c r="AF174" s="41"/>
    </row>
    <row r="175" spans="1:32" ht="16" customHeight="1" x14ac:dyDescent="0.2">
      <c r="A175" s="37"/>
      <c r="B175" s="174"/>
      <c r="C175" s="175"/>
      <c r="D175" s="182" t="s">
        <v>99</v>
      </c>
      <c r="E175" s="183"/>
      <c r="F175" s="183"/>
      <c r="G175" s="184"/>
      <c r="H175" s="185" t="s">
        <v>101</v>
      </c>
      <c r="I175" s="183"/>
      <c r="J175" s="183"/>
      <c r="K175" s="184"/>
      <c r="L175" s="183" t="s">
        <v>100</v>
      </c>
      <c r="M175" s="183"/>
      <c r="N175" s="183"/>
      <c r="O175" s="182" t="s">
        <v>99</v>
      </c>
      <c r="P175" s="183"/>
      <c r="Q175" s="183"/>
      <c r="R175" s="183"/>
      <c r="S175" s="185" t="s">
        <v>100</v>
      </c>
      <c r="T175" s="183"/>
      <c r="U175" s="186"/>
      <c r="V175" s="183" t="s">
        <v>99</v>
      </c>
      <c r="W175" s="183"/>
      <c r="X175" s="183"/>
      <c r="Y175" s="183"/>
      <c r="Z175" s="185" t="s">
        <v>100</v>
      </c>
      <c r="AA175" s="183"/>
      <c r="AB175" s="187"/>
      <c r="AC175" s="37"/>
      <c r="AD175" s="41"/>
      <c r="AE175" s="41"/>
      <c r="AF175" s="41"/>
    </row>
    <row r="176" spans="1:32" ht="16" customHeight="1" x14ac:dyDescent="0.2">
      <c r="A176" s="37"/>
      <c r="B176" s="174"/>
      <c r="C176" s="175"/>
      <c r="D176" s="188" t="s">
        <v>110</v>
      </c>
      <c r="E176" s="189"/>
      <c r="F176" s="189"/>
      <c r="G176" s="190"/>
      <c r="H176" s="43" t="s">
        <v>113</v>
      </c>
      <c r="I176" s="43" t="s">
        <v>114</v>
      </c>
      <c r="J176" s="71" t="s">
        <v>115</v>
      </c>
      <c r="K176" s="53" t="s">
        <v>116</v>
      </c>
      <c r="L176" s="74" t="s">
        <v>96</v>
      </c>
      <c r="M176" s="191"/>
      <c r="N176" s="191"/>
      <c r="O176" s="188" t="s">
        <v>110</v>
      </c>
      <c r="P176" s="189"/>
      <c r="Q176" s="189"/>
      <c r="R176" s="189"/>
      <c r="S176" s="77" t="s">
        <v>96</v>
      </c>
      <c r="T176" s="191"/>
      <c r="U176" s="192"/>
      <c r="V176" s="189" t="s">
        <v>110</v>
      </c>
      <c r="W176" s="189"/>
      <c r="X176" s="189"/>
      <c r="Y176" s="189"/>
      <c r="Z176" s="77" t="s">
        <v>96</v>
      </c>
      <c r="AA176" s="191"/>
      <c r="AB176" s="193"/>
      <c r="AC176" s="37"/>
      <c r="AD176" s="41"/>
      <c r="AE176" s="41"/>
      <c r="AF176" s="41"/>
    </row>
    <row r="177" spans="1:32" ht="16" customHeight="1" x14ac:dyDescent="0.2">
      <c r="A177" s="37"/>
      <c r="B177" s="174"/>
      <c r="C177" s="175"/>
      <c r="D177" s="82" t="s">
        <v>53</v>
      </c>
      <c r="E177" s="41" t="s">
        <v>54</v>
      </c>
      <c r="F177" s="41" t="s">
        <v>90</v>
      </c>
      <c r="G177" s="53" t="s">
        <v>55</v>
      </c>
      <c r="H177" s="43" t="s">
        <v>102</v>
      </c>
      <c r="I177" s="43">
        <f>F178</f>
        <v>1.0551697530864197E-3</v>
      </c>
      <c r="J177" s="71"/>
      <c r="K177" s="52" t="str">
        <f>IF(J177="","",ABS(I177-J177))</f>
        <v/>
      </c>
      <c r="L177" s="75" t="s">
        <v>97</v>
      </c>
      <c r="M177" s="164"/>
      <c r="N177" s="164"/>
      <c r="O177" s="82" t="s">
        <v>54</v>
      </c>
      <c r="P177" s="41" t="s">
        <v>65</v>
      </c>
      <c r="Q177" s="67" t="s">
        <v>117</v>
      </c>
      <c r="R177" s="41" t="s">
        <v>116</v>
      </c>
      <c r="S177" s="78" t="s">
        <v>97</v>
      </c>
      <c r="T177" s="164"/>
      <c r="U177" s="168"/>
      <c r="V177" s="41" t="s">
        <v>54</v>
      </c>
      <c r="W177" s="41" t="s">
        <v>65</v>
      </c>
      <c r="X177" s="67" t="s">
        <v>117</v>
      </c>
      <c r="Y177" s="41" t="s">
        <v>116</v>
      </c>
      <c r="Z177" s="78" t="s">
        <v>97</v>
      </c>
      <c r="AA177" s="164"/>
      <c r="AB177" s="169"/>
      <c r="AC177" s="37"/>
      <c r="AD177" s="41"/>
      <c r="AE177" s="41"/>
      <c r="AF177" s="41"/>
    </row>
    <row r="178" spans="1:32" ht="16" customHeight="1" x14ac:dyDescent="0.2">
      <c r="A178" s="37"/>
      <c r="B178" s="174"/>
      <c r="C178" s="175"/>
      <c r="D178" s="82" t="s">
        <v>60</v>
      </c>
      <c r="E178" s="41">
        <v>400</v>
      </c>
      <c r="F178" s="43">
        <f>F143</f>
        <v>1.0551697530864197E-3</v>
      </c>
      <c r="G178" s="53" t="s">
        <v>57</v>
      </c>
      <c r="H178" s="43" t="s">
        <v>103</v>
      </c>
      <c r="I178" s="43">
        <f t="shared" ref="I178:I182" si="32">F179</f>
        <v>1.6116898148148149E-3</v>
      </c>
      <c r="J178" s="71"/>
      <c r="K178" s="52" t="str">
        <f t="shared" ref="K178:K184" si="33">IF(J178="","",ABS(I178-J178))</f>
        <v/>
      </c>
      <c r="L178" s="75" t="s">
        <v>98</v>
      </c>
      <c r="M178" s="164"/>
      <c r="N178" s="164"/>
      <c r="O178" s="82" t="s">
        <v>118</v>
      </c>
      <c r="P178" s="43">
        <f>S143</f>
        <v>3.0324074074074073E-3</v>
      </c>
      <c r="Q178" s="71"/>
      <c r="R178" s="52" t="str">
        <f>IF(Q178="","",ABS(P178-Q178))</f>
        <v/>
      </c>
      <c r="S178" s="78" t="s">
        <v>98</v>
      </c>
      <c r="T178" s="164"/>
      <c r="U178" s="168"/>
      <c r="V178" s="41" t="s">
        <v>138</v>
      </c>
      <c r="W178" s="43">
        <f>S145</f>
        <v>3.2523148148148147E-3</v>
      </c>
      <c r="X178" s="71"/>
      <c r="Y178" s="52" t="str">
        <f>IF(X178="","",ABS(W178-X178))</f>
        <v/>
      </c>
      <c r="Z178" s="78" t="s">
        <v>98</v>
      </c>
      <c r="AA178" s="164"/>
      <c r="AB178" s="169"/>
      <c r="AC178" s="37"/>
      <c r="AD178" s="41"/>
      <c r="AE178" s="41"/>
      <c r="AF178" s="41"/>
    </row>
    <row r="179" spans="1:32" ht="16" customHeight="1" x14ac:dyDescent="0.2">
      <c r="A179" s="37"/>
      <c r="B179" s="174"/>
      <c r="C179" s="175"/>
      <c r="D179" s="82" t="s">
        <v>60</v>
      </c>
      <c r="E179" s="41">
        <v>600</v>
      </c>
      <c r="F179" s="43">
        <f>F144</f>
        <v>1.6116898148148149E-3</v>
      </c>
      <c r="G179" s="53" t="s">
        <v>57</v>
      </c>
      <c r="H179" s="43" t="s">
        <v>104</v>
      </c>
      <c r="I179" s="43">
        <f t="shared" si="32"/>
        <v>2.1566358024691359E-3</v>
      </c>
      <c r="J179" s="71"/>
      <c r="K179" s="52" t="str">
        <f t="shared" si="33"/>
        <v/>
      </c>
      <c r="L179" s="170" t="s">
        <v>112</v>
      </c>
      <c r="M179" s="171"/>
      <c r="N179" s="90"/>
      <c r="O179" s="82" t="s">
        <v>122</v>
      </c>
      <c r="P179" s="43">
        <f>S146</f>
        <v>3.7268518518518519E-3</v>
      </c>
      <c r="Q179" s="71"/>
      <c r="R179" s="52" t="str">
        <f t="shared" ref="R179:R182" si="34">IF(Q179="","",ABS(P179-Q179))</f>
        <v/>
      </c>
      <c r="S179" s="170" t="s">
        <v>112</v>
      </c>
      <c r="T179" s="171"/>
      <c r="U179" s="83"/>
      <c r="V179" s="166" t="s">
        <v>111</v>
      </c>
      <c r="W179" s="166"/>
      <c r="X179" s="166"/>
      <c r="Y179" s="167"/>
      <c r="Z179" s="170" t="s">
        <v>112</v>
      </c>
      <c r="AA179" s="171"/>
      <c r="AB179" s="80"/>
      <c r="AC179" s="37"/>
      <c r="AD179" s="41"/>
      <c r="AE179" s="41"/>
      <c r="AF179" s="41"/>
    </row>
    <row r="180" spans="1:32" ht="16" customHeight="1" x14ac:dyDescent="0.2">
      <c r="A180" s="37"/>
      <c r="B180" s="174"/>
      <c r="C180" s="175"/>
      <c r="D180" s="82" t="s">
        <v>60</v>
      </c>
      <c r="E180" s="41">
        <v>800</v>
      </c>
      <c r="F180" s="43">
        <f>F145</f>
        <v>2.1566358024691359E-3</v>
      </c>
      <c r="G180" s="53" t="s">
        <v>57</v>
      </c>
      <c r="H180" s="43" t="s">
        <v>105</v>
      </c>
      <c r="I180" s="43">
        <f t="shared" si="32"/>
        <v>2.1566358024691359E-3</v>
      </c>
      <c r="J180" s="71"/>
      <c r="K180" s="52" t="str">
        <f t="shared" si="33"/>
        <v/>
      </c>
      <c r="L180" s="163" t="s">
        <v>88</v>
      </c>
      <c r="M180" s="164"/>
      <c r="N180" s="164"/>
      <c r="O180" s="82" t="s">
        <v>122</v>
      </c>
      <c r="P180" s="43">
        <f>P178</f>
        <v>3.0324074074074073E-3</v>
      </c>
      <c r="Q180" s="71"/>
      <c r="R180" s="52" t="str">
        <f t="shared" si="34"/>
        <v/>
      </c>
      <c r="S180" s="163" t="s">
        <v>88</v>
      </c>
      <c r="T180" s="164"/>
      <c r="U180" s="168"/>
      <c r="V180" s="30"/>
      <c r="W180" s="30"/>
      <c r="X180" s="30"/>
      <c r="Y180" s="30"/>
      <c r="Z180" s="163" t="s">
        <v>88</v>
      </c>
      <c r="AA180" s="164"/>
      <c r="AB180" s="169"/>
      <c r="AC180" s="37"/>
      <c r="AD180" s="41"/>
      <c r="AE180" s="41"/>
      <c r="AF180" s="41"/>
    </row>
    <row r="181" spans="1:32" ht="16" customHeight="1" x14ac:dyDescent="0.2">
      <c r="A181" s="37"/>
      <c r="B181" s="174"/>
      <c r="C181" s="175"/>
      <c r="D181" s="82" t="s">
        <v>60</v>
      </c>
      <c r="E181" s="41">
        <v>800</v>
      </c>
      <c r="F181" s="43">
        <f>F180</f>
        <v>2.1566358024691359E-3</v>
      </c>
      <c r="G181" s="53" t="s">
        <v>57</v>
      </c>
      <c r="H181" s="43" t="s">
        <v>106</v>
      </c>
      <c r="I181" s="43">
        <f t="shared" si="32"/>
        <v>1.6116898148148149E-3</v>
      </c>
      <c r="J181" s="71"/>
      <c r="K181" s="52" t="str">
        <f t="shared" si="33"/>
        <v/>
      </c>
      <c r="L181" s="163"/>
      <c r="M181" s="164"/>
      <c r="N181" s="164"/>
      <c r="O181" s="82" t="s">
        <v>122</v>
      </c>
      <c r="P181" s="43">
        <f>S146</f>
        <v>3.7268518518518519E-3</v>
      </c>
      <c r="Q181" s="71"/>
      <c r="R181" s="52" t="str">
        <f t="shared" si="34"/>
        <v/>
      </c>
      <c r="S181" s="163"/>
      <c r="T181" s="164"/>
      <c r="U181" s="168"/>
      <c r="V181" s="30"/>
      <c r="W181" s="30"/>
      <c r="X181" s="30"/>
      <c r="Y181" s="30"/>
      <c r="Z181" s="163"/>
      <c r="AA181" s="164"/>
      <c r="AB181" s="169"/>
      <c r="AC181" s="37"/>
      <c r="AD181" s="41"/>
      <c r="AE181" s="41"/>
      <c r="AF181" s="41"/>
    </row>
    <row r="182" spans="1:32" ht="16" customHeight="1" x14ac:dyDescent="0.2">
      <c r="A182" s="37"/>
      <c r="B182" s="174"/>
      <c r="C182" s="175"/>
      <c r="D182" s="82" t="s">
        <v>60</v>
      </c>
      <c r="E182" s="41">
        <v>600</v>
      </c>
      <c r="F182" s="43">
        <f>F179</f>
        <v>1.6116898148148149E-3</v>
      </c>
      <c r="G182" s="53" t="s">
        <v>57</v>
      </c>
      <c r="H182" s="43" t="s">
        <v>107</v>
      </c>
      <c r="I182" s="43">
        <f t="shared" si="32"/>
        <v>1.0551697530864197E-3</v>
      </c>
      <c r="J182" s="71"/>
      <c r="K182" s="52" t="str">
        <f t="shared" si="33"/>
        <v/>
      </c>
      <c r="L182" s="41"/>
      <c r="M182" s="41"/>
      <c r="N182" s="30"/>
      <c r="O182" s="82" t="s">
        <v>118</v>
      </c>
      <c r="P182" s="43">
        <f>P180</f>
        <v>3.0324074074074073E-3</v>
      </c>
      <c r="Q182" s="71"/>
      <c r="R182" s="52" t="str">
        <f t="shared" si="34"/>
        <v/>
      </c>
      <c r="S182" s="50"/>
      <c r="T182" s="41"/>
      <c r="U182" s="85"/>
      <c r="V182" s="30"/>
      <c r="W182" s="30"/>
      <c r="X182" s="30"/>
      <c r="Y182" s="30"/>
      <c r="Z182" s="50"/>
      <c r="AA182" s="41"/>
      <c r="AB182" s="35"/>
      <c r="AC182" s="37"/>
      <c r="AD182" s="41"/>
      <c r="AE182" s="41"/>
      <c r="AF182" s="41"/>
    </row>
    <row r="183" spans="1:32" ht="16" customHeight="1" x14ac:dyDescent="0.2">
      <c r="A183" s="37"/>
      <c r="B183" s="174"/>
      <c r="C183" s="175"/>
      <c r="D183" s="82" t="s">
        <v>60</v>
      </c>
      <c r="E183" s="41">
        <v>400</v>
      </c>
      <c r="F183" s="43">
        <f>F178</f>
        <v>1.0551697530864197E-3</v>
      </c>
      <c r="G183" s="53" t="s">
        <v>57</v>
      </c>
      <c r="H183" s="43"/>
      <c r="I183" s="43"/>
      <c r="J183" s="71"/>
      <c r="K183" s="52" t="str">
        <f t="shared" si="33"/>
        <v/>
      </c>
      <c r="L183" s="41"/>
      <c r="M183" s="41"/>
      <c r="N183" s="41"/>
      <c r="O183" s="165" t="s">
        <v>111</v>
      </c>
      <c r="P183" s="166"/>
      <c r="Q183" s="166"/>
      <c r="R183" s="167"/>
      <c r="S183" s="50"/>
      <c r="T183" s="41"/>
      <c r="U183" s="86"/>
      <c r="V183" s="30"/>
      <c r="W183" s="30"/>
      <c r="X183" s="30"/>
      <c r="Y183" s="30"/>
      <c r="Z183" s="50"/>
      <c r="AA183" s="41"/>
      <c r="AB183" s="44"/>
      <c r="AC183" s="37"/>
      <c r="AD183" s="41"/>
      <c r="AE183" s="41"/>
      <c r="AF183" s="41"/>
    </row>
    <row r="184" spans="1:32" ht="16" customHeight="1" thickBot="1" x14ac:dyDescent="0.25">
      <c r="A184" s="37"/>
      <c r="B184" s="198"/>
      <c r="C184" s="199"/>
      <c r="D184" s="165" t="s">
        <v>111</v>
      </c>
      <c r="E184" s="166"/>
      <c r="F184" s="166"/>
      <c r="G184" s="167"/>
      <c r="H184" s="40"/>
      <c r="I184" s="40"/>
      <c r="J184" s="71"/>
      <c r="K184" s="52" t="str">
        <f t="shared" si="33"/>
        <v/>
      </c>
      <c r="L184" s="194"/>
      <c r="M184" s="195"/>
      <c r="N184" s="195"/>
      <c r="O184" s="97"/>
      <c r="P184" s="42"/>
      <c r="Q184" s="42"/>
      <c r="R184" s="42"/>
      <c r="S184" s="194"/>
      <c r="T184" s="195"/>
      <c r="U184" s="196"/>
      <c r="V184" s="34"/>
      <c r="W184" s="34"/>
      <c r="X184" s="34"/>
      <c r="Y184" s="34"/>
      <c r="Z184" s="194"/>
      <c r="AA184" s="195"/>
      <c r="AB184" s="197"/>
      <c r="AC184" s="37"/>
      <c r="AD184" s="41"/>
      <c r="AE184" s="41"/>
      <c r="AF184" s="41"/>
    </row>
    <row r="185" spans="1:32" ht="16" customHeight="1" x14ac:dyDescent="0.2">
      <c r="A185" s="37"/>
      <c r="B185" s="172">
        <f>B174+1</f>
        <v>5</v>
      </c>
      <c r="C185" s="173"/>
      <c r="D185" s="178">
        <f>D147+(B185-1)*7</f>
        <v>42682</v>
      </c>
      <c r="E185" s="179"/>
      <c r="F185" s="179"/>
      <c r="G185" s="179"/>
      <c r="H185" s="179"/>
      <c r="I185" s="179"/>
      <c r="J185" s="179"/>
      <c r="K185" s="179"/>
      <c r="L185" s="179"/>
      <c r="M185" s="179"/>
      <c r="N185" s="179"/>
      <c r="O185" s="178">
        <f>O147+(B185-1)*7</f>
        <v>42685</v>
      </c>
      <c r="P185" s="179"/>
      <c r="Q185" s="179"/>
      <c r="R185" s="179"/>
      <c r="S185" s="179"/>
      <c r="T185" s="179"/>
      <c r="U185" s="180"/>
      <c r="V185" s="179">
        <f>V147+(B185-1)*7</f>
        <v>42687</v>
      </c>
      <c r="W185" s="179"/>
      <c r="X185" s="179"/>
      <c r="Y185" s="179"/>
      <c r="Z185" s="179"/>
      <c r="AA185" s="179"/>
      <c r="AB185" s="181"/>
      <c r="AC185" s="37"/>
      <c r="AD185" s="41"/>
      <c r="AE185" s="41"/>
      <c r="AF185" s="41"/>
    </row>
    <row r="186" spans="1:32" ht="16" customHeight="1" x14ac:dyDescent="0.2">
      <c r="A186" s="37"/>
      <c r="B186" s="174"/>
      <c r="C186" s="175"/>
      <c r="D186" s="182" t="s">
        <v>99</v>
      </c>
      <c r="E186" s="183"/>
      <c r="F186" s="183"/>
      <c r="G186" s="184"/>
      <c r="H186" s="185" t="s">
        <v>101</v>
      </c>
      <c r="I186" s="183"/>
      <c r="J186" s="183"/>
      <c r="K186" s="184"/>
      <c r="L186" s="183" t="s">
        <v>100</v>
      </c>
      <c r="M186" s="183"/>
      <c r="N186" s="183"/>
      <c r="O186" s="182" t="s">
        <v>99</v>
      </c>
      <c r="P186" s="183"/>
      <c r="Q186" s="183"/>
      <c r="R186" s="183"/>
      <c r="S186" s="185" t="s">
        <v>100</v>
      </c>
      <c r="T186" s="183"/>
      <c r="U186" s="186"/>
      <c r="V186" s="183" t="s">
        <v>99</v>
      </c>
      <c r="W186" s="183"/>
      <c r="X186" s="183"/>
      <c r="Y186" s="183"/>
      <c r="Z186" s="185" t="s">
        <v>100</v>
      </c>
      <c r="AA186" s="183"/>
      <c r="AB186" s="187"/>
      <c r="AC186" s="37"/>
      <c r="AD186" s="41"/>
      <c r="AE186" s="41"/>
      <c r="AF186" s="41"/>
    </row>
    <row r="187" spans="1:32" ht="16" customHeight="1" x14ac:dyDescent="0.2">
      <c r="A187" s="37"/>
      <c r="B187" s="174"/>
      <c r="C187" s="175"/>
      <c r="D187" s="188" t="s">
        <v>110</v>
      </c>
      <c r="E187" s="189"/>
      <c r="F187" s="189"/>
      <c r="G187" s="190"/>
      <c r="H187" s="43" t="s">
        <v>113</v>
      </c>
      <c r="I187" s="43" t="s">
        <v>114</v>
      </c>
      <c r="J187" s="71" t="s">
        <v>115</v>
      </c>
      <c r="K187" s="53" t="s">
        <v>116</v>
      </c>
      <c r="L187" s="74" t="s">
        <v>96</v>
      </c>
      <c r="M187" s="191"/>
      <c r="N187" s="191"/>
      <c r="O187" s="188" t="s">
        <v>110</v>
      </c>
      <c r="P187" s="189"/>
      <c r="Q187" s="189"/>
      <c r="R187" s="189"/>
      <c r="S187" s="77" t="s">
        <v>96</v>
      </c>
      <c r="T187" s="191"/>
      <c r="U187" s="192"/>
      <c r="V187" s="189" t="s">
        <v>110</v>
      </c>
      <c r="W187" s="189"/>
      <c r="X187" s="189"/>
      <c r="Y187" s="189"/>
      <c r="Z187" s="77" t="s">
        <v>96</v>
      </c>
      <c r="AA187" s="191"/>
      <c r="AB187" s="193"/>
      <c r="AC187" s="37"/>
      <c r="AD187" s="41"/>
      <c r="AE187" s="41"/>
      <c r="AF187" s="41"/>
    </row>
    <row r="188" spans="1:32" ht="16" customHeight="1" x14ac:dyDescent="0.2">
      <c r="A188" s="37"/>
      <c r="B188" s="174"/>
      <c r="C188" s="175"/>
      <c r="D188" s="82" t="s">
        <v>53</v>
      </c>
      <c r="E188" s="41" t="s">
        <v>54</v>
      </c>
      <c r="F188" s="41" t="s">
        <v>90</v>
      </c>
      <c r="G188" s="53" t="s">
        <v>55</v>
      </c>
      <c r="H188" s="43" t="s">
        <v>102</v>
      </c>
      <c r="I188" s="43">
        <f>F189</f>
        <v>2.7247299382716049E-3</v>
      </c>
      <c r="J188" s="71"/>
      <c r="K188" s="52" t="str">
        <f>IF(J188="","",ABS(I188-J188))</f>
        <v/>
      </c>
      <c r="L188" s="75" t="s">
        <v>97</v>
      </c>
      <c r="M188" s="164"/>
      <c r="N188" s="164"/>
      <c r="O188" s="82" t="s">
        <v>54</v>
      </c>
      <c r="P188" s="41" t="s">
        <v>65</v>
      </c>
      <c r="Q188" s="67" t="s">
        <v>117</v>
      </c>
      <c r="R188" s="41" t="s">
        <v>116</v>
      </c>
      <c r="S188" s="78" t="s">
        <v>97</v>
      </c>
      <c r="T188" s="164"/>
      <c r="U188" s="168"/>
      <c r="V188" s="41" t="s">
        <v>54</v>
      </c>
      <c r="W188" s="41" t="s">
        <v>65</v>
      </c>
      <c r="X188" s="67" t="s">
        <v>117</v>
      </c>
      <c r="Y188" s="41" t="s">
        <v>116</v>
      </c>
      <c r="Z188" s="78" t="s">
        <v>97</v>
      </c>
      <c r="AA188" s="164"/>
      <c r="AB188" s="169"/>
      <c r="AC188" s="37"/>
      <c r="AD188" s="41"/>
      <c r="AE188" s="41"/>
      <c r="AF188" s="41"/>
    </row>
    <row r="189" spans="1:32" ht="16" customHeight="1" x14ac:dyDescent="0.2">
      <c r="A189" s="37"/>
      <c r="B189" s="174"/>
      <c r="C189" s="175"/>
      <c r="D189" s="82" t="s">
        <v>61</v>
      </c>
      <c r="E189" s="41">
        <v>1000</v>
      </c>
      <c r="F189" s="43">
        <f>F146</f>
        <v>2.7247299382716049E-3</v>
      </c>
      <c r="G189" s="53" t="s">
        <v>57</v>
      </c>
      <c r="H189" s="43" t="s">
        <v>103</v>
      </c>
      <c r="I189" s="43">
        <f>F189</f>
        <v>2.7247299382716049E-3</v>
      </c>
      <c r="J189" s="71"/>
      <c r="K189" s="52" t="str">
        <f t="shared" ref="K189:K192" si="35">IF(J189="","",ABS(I189-J189))</f>
        <v/>
      </c>
      <c r="L189" s="75" t="s">
        <v>98</v>
      </c>
      <c r="M189" s="164"/>
      <c r="N189" s="164"/>
      <c r="O189" s="82" t="s">
        <v>123</v>
      </c>
      <c r="P189" s="43">
        <f>S143</f>
        <v>3.0324074074074073E-3</v>
      </c>
      <c r="Q189" s="71"/>
      <c r="R189" s="52" t="str">
        <f>IF(Q189="","",ABS(P189-Q189))</f>
        <v/>
      </c>
      <c r="S189" s="78" t="s">
        <v>98</v>
      </c>
      <c r="T189" s="164"/>
      <c r="U189" s="168"/>
      <c r="V189" s="41" t="s">
        <v>139</v>
      </c>
      <c r="W189" s="43">
        <f>S145</f>
        <v>3.2523148148148147E-3</v>
      </c>
      <c r="X189" s="71"/>
      <c r="Y189" s="52" t="str">
        <f>IF(X189="","",ABS(W189-X189))</f>
        <v/>
      </c>
      <c r="Z189" s="78" t="s">
        <v>98</v>
      </c>
      <c r="AA189" s="164"/>
      <c r="AB189" s="169"/>
      <c r="AC189" s="37"/>
      <c r="AD189" s="41"/>
      <c r="AE189" s="41"/>
      <c r="AF189" s="41"/>
    </row>
    <row r="190" spans="1:32" ht="16" customHeight="1" x14ac:dyDescent="0.2">
      <c r="A190" s="37"/>
      <c r="B190" s="174"/>
      <c r="C190" s="175"/>
      <c r="D190" s="165" t="s">
        <v>111</v>
      </c>
      <c r="E190" s="166"/>
      <c r="F190" s="166"/>
      <c r="G190" s="167"/>
      <c r="H190" s="43" t="s">
        <v>104</v>
      </c>
      <c r="I190" s="43">
        <f>F189</f>
        <v>2.7247299382716049E-3</v>
      </c>
      <c r="J190" s="71"/>
      <c r="K190" s="52" t="str">
        <f t="shared" si="35"/>
        <v/>
      </c>
      <c r="L190" s="170" t="s">
        <v>112</v>
      </c>
      <c r="M190" s="171"/>
      <c r="N190" s="90"/>
      <c r="O190" s="165" t="s">
        <v>111</v>
      </c>
      <c r="P190" s="166"/>
      <c r="Q190" s="166"/>
      <c r="R190" s="167"/>
      <c r="S190" s="170" t="s">
        <v>112</v>
      </c>
      <c r="T190" s="171"/>
      <c r="U190" s="83"/>
      <c r="V190" s="166" t="s">
        <v>111</v>
      </c>
      <c r="W190" s="166"/>
      <c r="X190" s="166"/>
      <c r="Y190" s="167"/>
      <c r="Z190" s="170" t="s">
        <v>112</v>
      </c>
      <c r="AA190" s="171"/>
      <c r="AB190" s="80"/>
      <c r="AC190" s="37"/>
      <c r="AD190" s="41"/>
      <c r="AE190" s="41"/>
      <c r="AF190" s="41"/>
    </row>
    <row r="191" spans="1:32" ht="16" customHeight="1" x14ac:dyDescent="0.2">
      <c r="A191" s="37"/>
      <c r="B191" s="174"/>
      <c r="C191" s="175"/>
      <c r="D191" s="165"/>
      <c r="E191" s="166"/>
      <c r="F191" s="166"/>
      <c r="G191" s="167"/>
      <c r="H191" s="43" t="s">
        <v>105</v>
      </c>
      <c r="I191" s="43">
        <f>F189</f>
        <v>2.7247299382716049E-3</v>
      </c>
      <c r="J191" s="71"/>
      <c r="K191" s="52" t="str">
        <f t="shared" si="35"/>
        <v/>
      </c>
      <c r="L191" s="163" t="s">
        <v>88</v>
      </c>
      <c r="M191" s="164"/>
      <c r="N191" s="164"/>
      <c r="O191" s="82"/>
      <c r="P191" s="43"/>
      <c r="Q191" s="41"/>
      <c r="R191" s="52"/>
      <c r="S191" s="163" t="s">
        <v>88</v>
      </c>
      <c r="T191" s="164"/>
      <c r="U191" s="168"/>
      <c r="V191" s="30"/>
      <c r="W191" s="30"/>
      <c r="X191" s="30"/>
      <c r="Y191" s="30"/>
      <c r="Z191" s="163" t="s">
        <v>88</v>
      </c>
      <c r="AA191" s="164"/>
      <c r="AB191" s="169"/>
      <c r="AC191" s="37"/>
      <c r="AD191" s="41"/>
      <c r="AE191" s="41"/>
      <c r="AF191" s="41"/>
    </row>
    <row r="192" spans="1:32" ht="16" customHeight="1" thickBot="1" x14ac:dyDescent="0.25">
      <c r="A192" s="37"/>
      <c r="B192" s="174"/>
      <c r="C192" s="175"/>
      <c r="D192" s="84"/>
      <c r="E192" s="43"/>
      <c r="F192" s="43"/>
      <c r="G192" s="53"/>
      <c r="H192" s="43"/>
      <c r="I192" s="43"/>
      <c r="J192" s="71"/>
      <c r="K192" s="52" t="str">
        <f t="shared" si="35"/>
        <v/>
      </c>
      <c r="L192" s="163"/>
      <c r="M192" s="164"/>
      <c r="N192" s="164"/>
      <c r="O192" s="165"/>
      <c r="P192" s="166"/>
      <c r="Q192" s="166"/>
      <c r="R192" s="167"/>
      <c r="S192" s="163"/>
      <c r="T192" s="164"/>
      <c r="U192" s="168"/>
      <c r="V192" s="30"/>
      <c r="W192" s="30"/>
      <c r="X192" s="30"/>
      <c r="Y192" s="30"/>
      <c r="Z192" s="163"/>
      <c r="AA192" s="164"/>
      <c r="AB192" s="169"/>
      <c r="AC192" s="37"/>
      <c r="AD192" s="41"/>
      <c r="AE192" s="41"/>
      <c r="AF192" s="41"/>
    </row>
    <row r="193" spans="1:32" ht="16" customHeight="1" x14ac:dyDescent="0.2">
      <c r="A193" s="37"/>
      <c r="B193" s="172">
        <f>B185+1</f>
        <v>6</v>
      </c>
      <c r="C193" s="173"/>
      <c r="D193" s="178">
        <f>D147+(B193-1)*7</f>
        <v>42689</v>
      </c>
      <c r="E193" s="179"/>
      <c r="F193" s="179"/>
      <c r="G193" s="179"/>
      <c r="H193" s="179"/>
      <c r="I193" s="179"/>
      <c r="J193" s="179"/>
      <c r="K193" s="179"/>
      <c r="L193" s="179"/>
      <c r="M193" s="179"/>
      <c r="N193" s="179"/>
      <c r="O193" s="178">
        <f>O147+(B193-1)*7</f>
        <v>42692</v>
      </c>
      <c r="P193" s="179"/>
      <c r="Q193" s="179"/>
      <c r="R193" s="179"/>
      <c r="S193" s="179"/>
      <c r="T193" s="179"/>
      <c r="U193" s="180"/>
      <c r="V193" s="179">
        <f>V147+(B193-1)*7</f>
        <v>42694</v>
      </c>
      <c r="W193" s="179"/>
      <c r="X193" s="179"/>
      <c r="Y193" s="179"/>
      <c r="Z193" s="179"/>
      <c r="AA193" s="179"/>
      <c r="AB193" s="181"/>
      <c r="AC193" s="37"/>
      <c r="AD193" s="41"/>
      <c r="AE193" s="41"/>
      <c r="AF193" s="41"/>
    </row>
    <row r="194" spans="1:32" ht="16" customHeight="1" x14ac:dyDescent="0.2">
      <c r="A194" s="37"/>
      <c r="B194" s="174"/>
      <c r="C194" s="175"/>
      <c r="D194" s="182" t="s">
        <v>99</v>
      </c>
      <c r="E194" s="183"/>
      <c r="F194" s="183"/>
      <c r="G194" s="184"/>
      <c r="H194" s="185" t="s">
        <v>101</v>
      </c>
      <c r="I194" s="183"/>
      <c r="J194" s="183"/>
      <c r="K194" s="184"/>
      <c r="L194" s="183" t="s">
        <v>100</v>
      </c>
      <c r="M194" s="183"/>
      <c r="N194" s="183"/>
      <c r="O194" s="182" t="s">
        <v>99</v>
      </c>
      <c r="P194" s="183"/>
      <c r="Q194" s="183"/>
      <c r="R194" s="183"/>
      <c r="S194" s="185" t="s">
        <v>100</v>
      </c>
      <c r="T194" s="183"/>
      <c r="U194" s="186"/>
      <c r="V194" s="183" t="s">
        <v>99</v>
      </c>
      <c r="W194" s="183"/>
      <c r="X194" s="183"/>
      <c r="Y194" s="183"/>
      <c r="Z194" s="185" t="s">
        <v>100</v>
      </c>
      <c r="AA194" s="183"/>
      <c r="AB194" s="187"/>
      <c r="AC194" s="37"/>
      <c r="AD194" s="41"/>
      <c r="AE194" s="41"/>
      <c r="AF194" s="41"/>
    </row>
    <row r="195" spans="1:32" ht="16" customHeight="1" x14ac:dyDescent="0.2">
      <c r="A195" s="37"/>
      <c r="B195" s="174"/>
      <c r="C195" s="175"/>
      <c r="D195" s="188" t="s">
        <v>110</v>
      </c>
      <c r="E195" s="189"/>
      <c r="F195" s="189"/>
      <c r="G195" s="190"/>
      <c r="H195" s="43" t="s">
        <v>113</v>
      </c>
      <c r="I195" s="43" t="s">
        <v>114</v>
      </c>
      <c r="J195" s="71" t="s">
        <v>115</v>
      </c>
      <c r="K195" s="53" t="s">
        <v>116</v>
      </c>
      <c r="L195" s="74" t="s">
        <v>96</v>
      </c>
      <c r="M195" s="191"/>
      <c r="N195" s="191"/>
      <c r="O195" s="188" t="s">
        <v>110</v>
      </c>
      <c r="P195" s="189"/>
      <c r="Q195" s="189"/>
      <c r="R195" s="189"/>
      <c r="S195" s="77" t="s">
        <v>96</v>
      </c>
      <c r="T195" s="191"/>
      <c r="U195" s="192"/>
      <c r="V195" s="189" t="s">
        <v>110</v>
      </c>
      <c r="W195" s="189"/>
      <c r="X195" s="189"/>
      <c r="Y195" s="189"/>
      <c r="Z195" s="77" t="s">
        <v>96</v>
      </c>
      <c r="AA195" s="191"/>
      <c r="AB195" s="193"/>
      <c r="AC195" s="37"/>
      <c r="AD195" s="41"/>
      <c r="AE195" s="41"/>
      <c r="AF195" s="41"/>
    </row>
    <row r="196" spans="1:32" ht="16" customHeight="1" x14ac:dyDescent="0.2">
      <c r="A196" s="37"/>
      <c r="B196" s="174"/>
      <c r="C196" s="175"/>
      <c r="D196" s="82" t="s">
        <v>53</v>
      </c>
      <c r="E196" s="41" t="s">
        <v>54</v>
      </c>
      <c r="F196" s="41" t="s">
        <v>90</v>
      </c>
      <c r="G196" s="53" t="s">
        <v>55</v>
      </c>
      <c r="H196" s="43" t="s">
        <v>102</v>
      </c>
      <c r="I196" s="43">
        <f>F197</f>
        <v>4.5076195987654322E-3</v>
      </c>
      <c r="J196" s="71"/>
      <c r="K196" s="52" t="str">
        <f>IF(J196="","",ABS(I196-J196))</f>
        <v/>
      </c>
      <c r="L196" s="75" t="s">
        <v>97</v>
      </c>
      <c r="M196" s="164"/>
      <c r="N196" s="164"/>
      <c r="O196" s="82" t="s">
        <v>54</v>
      </c>
      <c r="P196" s="41" t="s">
        <v>65</v>
      </c>
      <c r="Q196" s="67" t="s">
        <v>117</v>
      </c>
      <c r="R196" s="41" t="s">
        <v>116</v>
      </c>
      <c r="S196" s="78" t="s">
        <v>97</v>
      </c>
      <c r="T196" s="164"/>
      <c r="U196" s="168"/>
      <c r="V196" s="41" t="s">
        <v>54</v>
      </c>
      <c r="W196" s="41" t="s">
        <v>65</v>
      </c>
      <c r="X196" s="67" t="s">
        <v>117</v>
      </c>
      <c r="Y196" s="41" t="s">
        <v>116</v>
      </c>
      <c r="Z196" s="78" t="s">
        <v>97</v>
      </c>
      <c r="AA196" s="164"/>
      <c r="AB196" s="169"/>
      <c r="AC196" s="37"/>
      <c r="AD196" s="41"/>
      <c r="AE196" s="41"/>
      <c r="AF196" s="41"/>
    </row>
    <row r="197" spans="1:32" ht="16" customHeight="1" x14ac:dyDescent="0.2">
      <c r="A197" s="37"/>
      <c r="B197" s="174"/>
      <c r="C197" s="175"/>
      <c r="D197" s="82" t="s">
        <v>60</v>
      </c>
      <c r="E197" s="41">
        <v>1600</v>
      </c>
      <c r="F197" s="43">
        <f>L144</f>
        <v>4.5076195987654322E-3</v>
      </c>
      <c r="G197" s="53" t="s">
        <v>57</v>
      </c>
      <c r="H197" s="43" t="s">
        <v>103</v>
      </c>
      <c r="I197" s="43">
        <f t="shared" ref="I197:I199" si="36">F198</f>
        <v>3.3135609567901229E-3</v>
      </c>
      <c r="J197" s="71"/>
      <c r="K197" s="52" t="str">
        <f t="shared" ref="K197:K201" si="37">IF(J197="","",ABS(I197-J197))</f>
        <v/>
      </c>
      <c r="L197" s="75" t="s">
        <v>98</v>
      </c>
      <c r="M197" s="164"/>
      <c r="N197" s="164"/>
      <c r="O197" s="82" t="s">
        <v>119</v>
      </c>
      <c r="P197" s="43">
        <f>S144</f>
        <v>3.1481481481481482E-3</v>
      </c>
      <c r="Q197" s="71"/>
      <c r="R197" s="52" t="str">
        <f>IF(Q197="","",ABS(P197-Q197))</f>
        <v/>
      </c>
      <c r="S197" s="78" t="s">
        <v>98</v>
      </c>
      <c r="T197" s="164"/>
      <c r="U197" s="168"/>
      <c r="V197" s="41" t="s">
        <v>128</v>
      </c>
      <c r="W197" s="43">
        <f>S145</f>
        <v>3.2523148148148147E-3</v>
      </c>
      <c r="X197" s="71"/>
      <c r="Y197" s="52" t="str">
        <f>IF(X197="","",ABS(W197-X197))</f>
        <v/>
      </c>
      <c r="Z197" s="78" t="s">
        <v>98</v>
      </c>
      <c r="AA197" s="164"/>
      <c r="AB197" s="169"/>
      <c r="AC197" s="37"/>
      <c r="AD197" s="41"/>
      <c r="AE197" s="41"/>
      <c r="AF197" s="41"/>
    </row>
    <row r="198" spans="1:32" ht="16" customHeight="1" x14ac:dyDescent="0.2">
      <c r="A198" s="37"/>
      <c r="B198" s="174"/>
      <c r="C198" s="175"/>
      <c r="D198" s="82" t="s">
        <v>60</v>
      </c>
      <c r="E198" s="41">
        <v>1200</v>
      </c>
      <c r="F198" s="43">
        <f>L143</f>
        <v>3.3135609567901229E-3</v>
      </c>
      <c r="G198" s="53" t="s">
        <v>57</v>
      </c>
      <c r="H198" s="43" t="s">
        <v>104</v>
      </c>
      <c r="I198" s="43">
        <f t="shared" si="36"/>
        <v>2.1566358024691359E-3</v>
      </c>
      <c r="J198" s="71"/>
      <c r="K198" s="52" t="str">
        <f t="shared" si="37"/>
        <v/>
      </c>
      <c r="L198" s="170" t="s">
        <v>112</v>
      </c>
      <c r="M198" s="171"/>
      <c r="N198" s="90"/>
      <c r="O198" s="165" t="s">
        <v>111</v>
      </c>
      <c r="P198" s="166"/>
      <c r="Q198" s="166"/>
      <c r="R198" s="167"/>
      <c r="S198" s="170" t="s">
        <v>112</v>
      </c>
      <c r="T198" s="171"/>
      <c r="U198" s="83"/>
      <c r="V198" s="166" t="s">
        <v>111</v>
      </c>
      <c r="W198" s="166"/>
      <c r="X198" s="166"/>
      <c r="Y198" s="167"/>
      <c r="Z198" s="170" t="s">
        <v>112</v>
      </c>
      <c r="AA198" s="171"/>
      <c r="AB198" s="80"/>
      <c r="AC198" s="37"/>
      <c r="AD198" s="41"/>
      <c r="AE198" s="41"/>
      <c r="AF198" s="41"/>
    </row>
    <row r="199" spans="1:32" ht="16" customHeight="1" x14ac:dyDescent="0.2">
      <c r="A199" s="37"/>
      <c r="B199" s="174"/>
      <c r="C199" s="175"/>
      <c r="D199" s="82" t="s">
        <v>60</v>
      </c>
      <c r="E199" s="41">
        <v>800</v>
      </c>
      <c r="F199" s="43">
        <f>F145</f>
        <v>2.1566358024691359E-3</v>
      </c>
      <c r="G199" s="53" t="s">
        <v>57</v>
      </c>
      <c r="H199" s="43" t="s">
        <v>105</v>
      </c>
      <c r="I199" s="43">
        <f t="shared" si="36"/>
        <v>1.0551697530864197E-3</v>
      </c>
      <c r="J199" s="71"/>
      <c r="K199" s="52" t="str">
        <f t="shared" si="37"/>
        <v/>
      </c>
      <c r="L199" s="163" t="s">
        <v>88</v>
      </c>
      <c r="M199" s="164"/>
      <c r="N199" s="164"/>
      <c r="O199" s="82"/>
      <c r="P199" s="43"/>
      <c r="Q199" s="43"/>
      <c r="R199" s="52"/>
      <c r="S199" s="163" t="s">
        <v>88</v>
      </c>
      <c r="T199" s="164"/>
      <c r="U199" s="168"/>
      <c r="V199" s="30"/>
      <c r="W199" s="30"/>
      <c r="X199" s="30"/>
      <c r="Y199" s="30"/>
      <c r="Z199" s="163" t="s">
        <v>88</v>
      </c>
      <c r="AA199" s="164"/>
      <c r="AB199" s="169"/>
      <c r="AC199" s="37"/>
      <c r="AD199" s="41"/>
      <c r="AE199" s="41"/>
      <c r="AF199" s="41"/>
    </row>
    <row r="200" spans="1:32" ht="16" customHeight="1" x14ac:dyDescent="0.2">
      <c r="A200" s="37"/>
      <c r="B200" s="174"/>
      <c r="C200" s="175"/>
      <c r="D200" s="82" t="s">
        <v>60</v>
      </c>
      <c r="E200" s="41">
        <v>400</v>
      </c>
      <c r="F200" s="43">
        <f>F143</f>
        <v>1.0551697530864197E-3</v>
      </c>
      <c r="G200" s="53" t="s">
        <v>57</v>
      </c>
      <c r="H200" s="43"/>
      <c r="I200" s="43"/>
      <c r="J200" s="71"/>
      <c r="K200" s="52" t="str">
        <f t="shared" si="37"/>
        <v/>
      </c>
      <c r="L200" s="163"/>
      <c r="M200" s="164"/>
      <c r="N200" s="164"/>
      <c r="O200" s="82"/>
      <c r="P200" s="43"/>
      <c r="Q200" s="43"/>
      <c r="R200" s="52"/>
      <c r="S200" s="163"/>
      <c r="T200" s="164"/>
      <c r="U200" s="168"/>
      <c r="V200" s="30"/>
      <c r="W200" s="30"/>
      <c r="X200" s="30"/>
      <c r="Y200" s="30"/>
      <c r="Z200" s="163"/>
      <c r="AA200" s="164"/>
      <c r="AB200" s="169"/>
      <c r="AC200" s="37"/>
      <c r="AD200" s="41"/>
      <c r="AE200" s="41"/>
      <c r="AF200" s="41"/>
    </row>
    <row r="201" spans="1:32" ht="16" customHeight="1" thickBot="1" x14ac:dyDescent="0.25">
      <c r="A201" s="37"/>
      <c r="B201" s="174"/>
      <c r="C201" s="175"/>
      <c r="D201" s="165" t="s">
        <v>111</v>
      </c>
      <c r="E201" s="166"/>
      <c r="F201" s="166"/>
      <c r="G201" s="167"/>
      <c r="H201" s="43"/>
      <c r="I201" s="43"/>
      <c r="J201" s="71"/>
      <c r="K201" s="52" t="str">
        <f t="shared" si="37"/>
        <v/>
      </c>
      <c r="L201" s="41"/>
      <c r="M201" s="41"/>
      <c r="N201" s="30"/>
      <c r="O201" s="82"/>
      <c r="P201" s="43"/>
      <c r="Q201" s="43"/>
      <c r="R201" s="52"/>
      <c r="S201" s="50"/>
      <c r="T201" s="41"/>
      <c r="U201" s="85"/>
      <c r="V201" s="30"/>
      <c r="W201" s="30"/>
      <c r="X201" s="30"/>
      <c r="Y201" s="30"/>
      <c r="Z201" s="50"/>
      <c r="AA201" s="41"/>
      <c r="AB201" s="35"/>
      <c r="AC201" s="37"/>
      <c r="AD201" s="41"/>
      <c r="AE201" s="41"/>
      <c r="AF201" s="41"/>
    </row>
    <row r="202" spans="1:32" ht="16" customHeight="1" x14ac:dyDescent="0.2">
      <c r="A202" s="37"/>
      <c r="B202" s="172">
        <f>B193+1</f>
        <v>7</v>
      </c>
      <c r="C202" s="173"/>
      <c r="D202" s="178">
        <f>D147+(B202-1)*7</f>
        <v>42696</v>
      </c>
      <c r="E202" s="179"/>
      <c r="F202" s="179"/>
      <c r="G202" s="179"/>
      <c r="H202" s="179"/>
      <c r="I202" s="179"/>
      <c r="J202" s="179"/>
      <c r="K202" s="179"/>
      <c r="L202" s="179"/>
      <c r="M202" s="179"/>
      <c r="N202" s="179"/>
      <c r="O202" s="178">
        <f>O147+(B202-1)*7</f>
        <v>42699</v>
      </c>
      <c r="P202" s="179"/>
      <c r="Q202" s="179"/>
      <c r="R202" s="179"/>
      <c r="S202" s="179"/>
      <c r="T202" s="179"/>
      <c r="U202" s="180"/>
      <c r="V202" s="179">
        <f>V147+(B202-1)*7</f>
        <v>42701</v>
      </c>
      <c r="W202" s="179"/>
      <c r="X202" s="179"/>
      <c r="Y202" s="179"/>
      <c r="Z202" s="179"/>
      <c r="AA202" s="179"/>
      <c r="AB202" s="181"/>
      <c r="AC202" s="37"/>
      <c r="AD202" s="41"/>
      <c r="AE202" s="41"/>
      <c r="AF202" s="41"/>
    </row>
    <row r="203" spans="1:32" ht="16" customHeight="1" x14ac:dyDescent="0.2">
      <c r="A203" s="37"/>
      <c r="B203" s="174"/>
      <c r="C203" s="175"/>
      <c r="D203" s="182" t="s">
        <v>99</v>
      </c>
      <c r="E203" s="183"/>
      <c r="F203" s="183"/>
      <c r="G203" s="184"/>
      <c r="H203" s="185" t="s">
        <v>101</v>
      </c>
      <c r="I203" s="183"/>
      <c r="J203" s="183"/>
      <c r="K203" s="184"/>
      <c r="L203" s="183" t="s">
        <v>100</v>
      </c>
      <c r="M203" s="183"/>
      <c r="N203" s="183"/>
      <c r="O203" s="182" t="s">
        <v>99</v>
      </c>
      <c r="P203" s="183"/>
      <c r="Q203" s="183"/>
      <c r="R203" s="183"/>
      <c r="S203" s="185" t="s">
        <v>100</v>
      </c>
      <c r="T203" s="183"/>
      <c r="U203" s="186"/>
      <c r="V203" s="183" t="s">
        <v>99</v>
      </c>
      <c r="W203" s="183"/>
      <c r="X203" s="183"/>
      <c r="Y203" s="183"/>
      <c r="Z203" s="185" t="s">
        <v>100</v>
      </c>
      <c r="AA203" s="183"/>
      <c r="AB203" s="187"/>
      <c r="AC203" s="37"/>
      <c r="AD203" s="41"/>
      <c r="AE203" s="41"/>
      <c r="AF203" s="41"/>
    </row>
    <row r="204" spans="1:32" ht="16" customHeight="1" x14ac:dyDescent="0.2">
      <c r="A204" s="37"/>
      <c r="B204" s="174"/>
      <c r="C204" s="175"/>
      <c r="D204" s="188" t="s">
        <v>110</v>
      </c>
      <c r="E204" s="189"/>
      <c r="F204" s="189"/>
      <c r="G204" s="190"/>
      <c r="H204" s="43" t="s">
        <v>113</v>
      </c>
      <c r="I204" s="43" t="s">
        <v>114</v>
      </c>
      <c r="J204" s="71" t="s">
        <v>115</v>
      </c>
      <c r="K204" s="53" t="s">
        <v>116</v>
      </c>
      <c r="L204" s="74" t="s">
        <v>96</v>
      </c>
      <c r="M204" s="191"/>
      <c r="N204" s="191"/>
      <c r="O204" s="188" t="s">
        <v>110</v>
      </c>
      <c r="P204" s="189"/>
      <c r="Q204" s="189"/>
      <c r="R204" s="189"/>
      <c r="S204" s="77" t="s">
        <v>96</v>
      </c>
      <c r="T204" s="191"/>
      <c r="U204" s="192"/>
      <c r="V204" s="189" t="s">
        <v>110</v>
      </c>
      <c r="W204" s="189"/>
      <c r="X204" s="189"/>
      <c r="Y204" s="189"/>
      <c r="Z204" s="77" t="s">
        <v>96</v>
      </c>
      <c r="AA204" s="191"/>
      <c r="AB204" s="193"/>
      <c r="AC204" s="37"/>
      <c r="AD204" s="41"/>
      <c r="AE204" s="41"/>
      <c r="AF204" s="41"/>
    </row>
    <row r="205" spans="1:32" ht="16" customHeight="1" x14ac:dyDescent="0.2">
      <c r="A205" s="37"/>
      <c r="B205" s="174"/>
      <c r="C205" s="175"/>
      <c r="D205" s="82" t="s">
        <v>53</v>
      </c>
      <c r="E205" s="41" t="s">
        <v>54</v>
      </c>
      <c r="F205" s="41" t="s">
        <v>90</v>
      </c>
      <c r="G205" s="53" t="s">
        <v>55</v>
      </c>
      <c r="H205" s="43" t="s">
        <v>102</v>
      </c>
      <c r="I205" s="43">
        <f>F206</f>
        <v>1.0551697530864197E-3</v>
      </c>
      <c r="J205" s="71"/>
      <c r="K205" s="52" t="str">
        <f>IF(J205="","",ABS(I205-J205))</f>
        <v/>
      </c>
      <c r="L205" s="75" t="s">
        <v>97</v>
      </c>
      <c r="M205" s="164"/>
      <c r="N205" s="164"/>
      <c r="O205" s="82" t="s">
        <v>54</v>
      </c>
      <c r="P205" s="41" t="s">
        <v>65</v>
      </c>
      <c r="Q205" s="67" t="s">
        <v>117</v>
      </c>
      <c r="R205" s="41" t="s">
        <v>116</v>
      </c>
      <c r="S205" s="78" t="s">
        <v>97</v>
      </c>
      <c r="T205" s="164"/>
      <c r="U205" s="168"/>
      <c r="V205" s="41" t="s">
        <v>54</v>
      </c>
      <c r="W205" s="41" t="s">
        <v>65</v>
      </c>
      <c r="X205" s="67" t="s">
        <v>117</v>
      </c>
      <c r="Y205" s="41" t="s">
        <v>116</v>
      </c>
      <c r="Z205" s="78" t="s">
        <v>97</v>
      </c>
      <c r="AA205" s="164"/>
      <c r="AB205" s="169"/>
      <c r="AC205" s="37"/>
      <c r="AD205" s="41"/>
      <c r="AE205" s="41"/>
      <c r="AF205" s="41"/>
    </row>
    <row r="206" spans="1:32" ht="16" customHeight="1" x14ac:dyDescent="0.2">
      <c r="A206" s="37"/>
      <c r="B206" s="174"/>
      <c r="C206" s="175"/>
      <c r="D206" s="82" t="s">
        <v>62</v>
      </c>
      <c r="E206" s="41">
        <v>400</v>
      </c>
      <c r="F206" s="43">
        <f>F143</f>
        <v>1.0551697530864197E-3</v>
      </c>
      <c r="G206" s="53" t="s">
        <v>127</v>
      </c>
      <c r="H206" s="43" t="s">
        <v>103</v>
      </c>
      <c r="I206" s="43">
        <f>I205</f>
        <v>1.0551697530864197E-3</v>
      </c>
      <c r="J206" s="71"/>
      <c r="K206" s="52" t="str">
        <f t="shared" ref="K206:K214" si="38">IF(J206="","",ABS(I206-J206))</f>
        <v/>
      </c>
      <c r="L206" s="75" t="s">
        <v>98</v>
      </c>
      <c r="M206" s="164"/>
      <c r="N206" s="164"/>
      <c r="O206" s="82" t="s">
        <v>123</v>
      </c>
      <c r="P206" s="43">
        <f>S143</f>
        <v>3.0324074074074073E-3</v>
      </c>
      <c r="Q206" s="71"/>
      <c r="R206" s="52" t="str">
        <f>IF(Q206="","",ABS(P206-Q206))</f>
        <v/>
      </c>
      <c r="S206" s="78" t="s">
        <v>98</v>
      </c>
      <c r="T206" s="164"/>
      <c r="U206" s="168"/>
      <c r="V206" s="41" t="s">
        <v>139</v>
      </c>
      <c r="W206" s="43">
        <f>S145</f>
        <v>3.2523148148148147E-3</v>
      </c>
      <c r="X206" s="71"/>
      <c r="Y206" s="52" t="str">
        <f>IF(X206="","",ABS(W206-X206))</f>
        <v/>
      </c>
      <c r="Z206" s="78" t="s">
        <v>98</v>
      </c>
      <c r="AA206" s="164"/>
      <c r="AB206" s="169"/>
      <c r="AC206" s="37"/>
      <c r="AD206" s="41"/>
      <c r="AE206" s="41"/>
      <c r="AF206" s="41"/>
    </row>
    <row r="207" spans="1:32" ht="16" customHeight="1" x14ac:dyDescent="0.2">
      <c r="A207" s="37"/>
      <c r="B207" s="174"/>
      <c r="C207" s="175"/>
      <c r="D207" s="165" t="s">
        <v>111</v>
      </c>
      <c r="E207" s="166"/>
      <c r="F207" s="166"/>
      <c r="G207" s="167"/>
      <c r="H207" s="43" t="s">
        <v>104</v>
      </c>
      <c r="I207" s="43">
        <f t="shared" ref="I207:I214" si="39">I206</f>
        <v>1.0551697530864197E-3</v>
      </c>
      <c r="J207" s="71"/>
      <c r="K207" s="52" t="str">
        <f t="shared" si="38"/>
        <v/>
      </c>
      <c r="L207" s="170" t="s">
        <v>112</v>
      </c>
      <c r="M207" s="171"/>
      <c r="N207" s="90"/>
      <c r="O207" s="165" t="s">
        <v>111</v>
      </c>
      <c r="P207" s="166"/>
      <c r="Q207" s="166"/>
      <c r="R207" s="167"/>
      <c r="S207" s="170" t="s">
        <v>112</v>
      </c>
      <c r="T207" s="171"/>
      <c r="U207" s="83"/>
      <c r="V207" s="166" t="s">
        <v>111</v>
      </c>
      <c r="W207" s="166"/>
      <c r="X207" s="166"/>
      <c r="Y207" s="167"/>
      <c r="Z207" s="170" t="s">
        <v>112</v>
      </c>
      <c r="AA207" s="171"/>
      <c r="AB207" s="80"/>
      <c r="AC207" s="37"/>
      <c r="AD207" s="41"/>
      <c r="AE207" s="41"/>
      <c r="AF207" s="41"/>
    </row>
    <row r="208" spans="1:32" ht="16" customHeight="1" x14ac:dyDescent="0.2">
      <c r="A208" s="37"/>
      <c r="B208" s="174"/>
      <c r="C208" s="175"/>
      <c r="D208" s="84"/>
      <c r="E208" s="43"/>
      <c r="F208" s="43"/>
      <c r="G208" s="53"/>
      <c r="H208" s="43" t="s">
        <v>105</v>
      </c>
      <c r="I208" s="43">
        <f t="shared" si="39"/>
        <v>1.0551697530864197E-3</v>
      </c>
      <c r="J208" s="71"/>
      <c r="K208" s="52" t="str">
        <f t="shared" si="38"/>
        <v/>
      </c>
      <c r="L208" s="163" t="s">
        <v>88</v>
      </c>
      <c r="M208" s="164"/>
      <c r="N208" s="164"/>
      <c r="O208" s="82"/>
      <c r="P208" s="41"/>
      <c r="Q208" s="41"/>
      <c r="R208" s="41"/>
      <c r="S208" s="163" t="s">
        <v>88</v>
      </c>
      <c r="T208" s="164"/>
      <c r="U208" s="168"/>
      <c r="V208" s="30"/>
      <c r="W208" s="30"/>
      <c r="X208" s="30"/>
      <c r="Y208" s="30"/>
      <c r="Z208" s="163" t="s">
        <v>88</v>
      </c>
      <c r="AA208" s="164"/>
      <c r="AB208" s="169"/>
      <c r="AC208" s="37"/>
      <c r="AD208" s="41"/>
      <c r="AE208" s="41"/>
      <c r="AF208" s="41"/>
    </row>
    <row r="209" spans="1:32" ht="16" customHeight="1" x14ac:dyDescent="0.2">
      <c r="A209" s="37"/>
      <c r="B209" s="174"/>
      <c r="C209" s="175"/>
      <c r="D209" s="84"/>
      <c r="E209" s="43"/>
      <c r="F209" s="43"/>
      <c r="G209" s="53"/>
      <c r="H209" s="43" t="s">
        <v>106</v>
      </c>
      <c r="I209" s="43">
        <f t="shared" si="39"/>
        <v>1.0551697530864197E-3</v>
      </c>
      <c r="J209" s="71"/>
      <c r="K209" s="52" t="str">
        <f t="shared" si="38"/>
        <v/>
      </c>
      <c r="L209" s="163"/>
      <c r="M209" s="164"/>
      <c r="N209" s="164"/>
      <c r="O209" s="82"/>
      <c r="P209" s="41"/>
      <c r="Q209" s="41"/>
      <c r="R209" s="41"/>
      <c r="S209" s="163"/>
      <c r="T209" s="164"/>
      <c r="U209" s="168"/>
      <c r="V209" s="30"/>
      <c r="W209" s="30"/>
      <c r="X209" s="30"/>
      <c r="Y209" s="30"/>
      <c r="Z209" s="163"/>
      <c r="AA209" s="164"/>
      <c r="AB209" s="169"/>
      <c r="AC209" s="37"/>
      <c r="AD209" s="41"/>
      <c r="AE209" s="41"/>
      <c r="AF209" s="41"/>
    </row>
    <row r="210" spans="1:32" ht="16" customHeight="1" x14ac:dyDescent="0.2">
      <c r="A210" s="37"/>
      <c r="B210" s="174"/>
      <c r="C210" s="175"/>
      <c r="D210" s="84"/>
      <c r="E210" s="43"/>
      <c r="F210" s="43"/>
      <c r="G210" s="53"/>
      <c r="H210" s="43" t="s">
        <v>107</v>
      </c>
      <c r="I210" s="43">
        <f t="shared" si="39"/>
        <v>1.0551697530864197E-3</v>
      </c>
      <c r="J210" s="71"/>
      <c r="K210" s="52" t="str">
        <f t="shared" si="38"/>
        <v/>
      </c>
      <c r="L210" s="41"/>
      <c r="M210" s="41"/>
      <c r="N210" s="30"/>
      <c r="O210" s="82"/>
      <c r="P210" s="41"/>
      <c r="Q210" s="41"/>
      <c r="R210" s="41"/>
      <c r="S210" s="50"/>
      <c r="T210" s="41"/>
      <c r="U210" s="85"/>
      <c r="V210" s="30"/>
      <c r="W210" s="30"/>
      <c r="X210" s="30"/>
      <c r="Y210" s="30"/>
      <c r="Z210" s="50"/>
      <c r="AA210" s="41"/>
      <c r="AB210" s="35"/>
      <c r="AC210" s="37"/>
      <c r="AD210" s="41"/>
      <c r="AE210" s="41"/>
      <c r="AF210" s="41"/>
    </row>
    <row r="211" spans="1:32" ht="16" customHeight="1" x14ac:dyDescent="0.2">
      <c r="A211" s="37"/>
      <c r="B211" s="174"/>
      <c r="C211" s="175"/>
      <c r="D211" s="84"/>
      <c r="E211" s="43"/>
      <c r="F211" s="43"/>
      <c r="G211" s="53"/>
      <c r="H211" s="43" t="s">
        <v>108</v>
      </c>
      <c r="I211" s="43">
        <f t="shared" si="39"/>
        <v>1.0551697530864197E-3</v>
      </c>
      <c r="J211" s="71"/>
      <c r="K211" s="52" t="str">
        <f t="shared" si="38"/>
        <v/>
      </c>
      <c r="L211" s="41"/>
      <c r="M211" s="41"/>
      <c r="N211" s="41"/>
      <c r="O211" s="82"/>
      <c r="P211" s="41"/>
      <c r="Q211" s="41"/>
      <c r="R211" s="41"/>
      <c r="S211" s="50"/>
      <c r="T211" s="41"/>
      <c r="U211" s="86"/>
      <c r="V211" s="30"/>
      <c r="W211" s="30"/>
      <c r="X211" s="30"/>
      <c r="Y211" s="30"/>
      <c r="Z211" s="50"/>
      <c r="AA211" s="41"/>
      <c r="AB211" s="44"/>
      <c r="AC211" s="37"/>
      <c r="AD211" s="41"/>
      <c r="AE211" s="41"/>
      <c r="AF211" s="41"/>
    </row>
    <row r="212" spans="1:32" ht="16" customHeight="1" x14ac:dyDescent="0.2">
      <c r="A212" s="37"/>
      <c r="B212" s="174"/>
      <c r="C212" s="175"/>
      <c r="D212" s="84"/>
      <c r="E212" s="43"/>
      <c r="F212" s="43"/>
      <c r="G212" s="53"/>
      <c r="H212" s="43" t="s">
        <v>109</v>
      </c>
      <c r="I212" s="43">
        <f t="shared" si="39"/>
        <v>1.0551697530864197E-3</v>
      </c>
      <c r="J212" s="71"/>
      <c r="K212" s="52" t="str">
        <f t="shared" si="38"/>
        <v/>
      </c>
      <c r="L212" s="41"/>
      <c r="M212" s="41"/>
      <c r="N212" s="30"/>
      <c r="O212" s="82"/>
      <c r="P212" s="41"/>
      <c r="Q212" s="41"/>
      <c r="R212" s="41"/>
      <c r="S212" s="50"/>
      <c r="T212" s="41"/>
      <c r="U212" s="85"/>
      <c r="V212" s="30"/>
      <c r="W212" s="30"/>
      <c r="X212" s="30"/>
      <c r="Y212" s="30"/>
      <c r="Z212" s="50"/>
      <c r="AA212" s="41"/>
      <c r="AB212" s="35"/>
      <c r="AC212" s="37"/>
      <c r="AD212" s="41"/>
      <c r="AE212" s="41"/>
      <c r="AF212" s="41"/>
    </row>
    <row r="213" spans="1:32" ht="16" customHeight="1" x14ac:dyDescent="0.2">
      <c r="A213" s="37"/>
      <c r="B213" s="174"/>
      <c r="C213" s="175"/>
      <c r="D213" s="84"/>
      <c r="E213" s="43"/>
      <c r="F213" s="43"/>
      <c r="G213" s="53"/>
      <c r="H213" s="43" t="s">
        <v>125</v>
      </c>
      <c r="I213" s="43">
        <f t="shared" si="39"/>
        <v>1.0551697530864197E-3</v>
      </c>
      <c r="J213" s="71"/>
      <c r="K213" s="52" t="str">
        <f t="shared" si="38"/>
        <v/>
      </c>
      <c r="L213" s="41"/>
      <c r="M213" s="41"/>
      <c r="N213" s="41"/>
      <c r="O213" s="82"/>
      <c r="P213" s="41"/>
      <c r="Q213" s="41"/>
      <c r="R213" s="41"/>
      <c r="S213" s="50"/>
      <c r="T213" s="41"/>
      <c r="U213" s="86"/>
      <c r="V213" s="30"/>
      <c r="W213" s="30"/>
      <c r="X213" s="30"/>
      <c r="Y213" s="30"/>
      <c r="Z213" s="50"/>
      <c r="AA213" s="41"/>
      <c r="AB213" s="44"/>
      <c r="AC213" s="37"/>
      <c r="AD213" s="41"/>
      <c r="AE213" s="41"/>
      <c r="AF213" s="41"/>
    </row>
    <row r="214" spans="1:32" ht="16" customHeight="1" thickBot="1" x14ac:dyDescent="0.25">
      <c r="A214" s="37"/>
      <c r="B214" s="198"/>
      <c r="C214" s="199"/>
      <c r="D214" s="87"/>
      <c r="E214" s="40"/>
      <c r="F214" s="40"/>
      <c r="G214" s="51"/>
      <c r="H214" s="40" t="s">
        <v>126</v>
      </c>
      <c r="I214" s="43">
        <f t="shared" si="39"/>
        <v>1.0551697530864197E-3</v>
      </c>
      <c r="J214" s="71"/>
      <c r="K214" s="52" t="str">
        <f t="shared" si="38"/>
        <v/>
      </c>
      <c r="L214" s="194"/>
      <c r="M214" s="195"/>
      <c r="N214" s="195"/>
      <c r="O214" s="97"/>
      <c r="P214" s="42"/>
      <c r="Q214" s="42"/>
      <c r="R214" s="42"/>
      <c r="S214" s="194"/>
      <c r="T214" s="195"/>
      <c r="U214" s="196"/>
      <c r="V214" s="34"/>
      <c r="W214" s="34"/>
      <c r="X214" s="34"/>
      <c r="Y214" s="34"/>
      <c r="Z214" s="194"/>
      <c r="AA214" s="195"/>
      <c r="AB214" s="197"/>
      <c r="AC214" s="37"/>
      <c r="AD214" s="41"/>
      <c r="AE214" s="41"/>
      <c r="AF214" s="41"/>
    </row>
    <row r="215" spans="1:32" ht="16" customHeight="1" x14ac:dyDescent="0.2">
      <c r="A215" s="37"/>
      <c r="B215" s="172">
        <f>B202+1</f>
        <v>8</v>
      </c>
      <c r="C215" s="173"/>
      <c r="D215" s="178">
        <f>D147+(B215-1)*7</f>
        <v>42703</v>
      </c>
      <c r="E215" s="179"/>
      <c r="F215" s="179"/>
      <c r="G215" s="179"/>
      <c r="H215" s="179"/>
      <c r="I215" s="179"/>
      <c r="J215" s="179"/>
      <c r="K215" s="179"/>
      <c r="L215" s="179"/>
      <c r="M215" s="179"/>
      <c r="N215" s="179"/>
      <c r="O215" s="178">
        <f>O147+(B215-1)*7</f>
        <v>42706</v>
      </c>
      <c r="P215" s="179"/>
      <c r="Q215" s="179"/>
      <c r="R215" s="179"/>
      <c r="S215" s="179"/>
      <c r="T215" s="179"/>
      <c r="U215" s="180"/>
      <c r="V215" s="179">
        <f>V147+(B215-1)*7</f>
        <v>42708</v>
      </c>
      <c r="W215" s="179"/>
      <c r="X215" s="179"/>
      <c r="Y215" s="179"/>
      <c r="Z215" s="179"/>
      <c r="AA215" s="179"/>
      <c r="AB215" s="181"/>
      <c r="AC215" s="37"/>
      <c r="AD215" s="41"/>
      <c r="AE215" s="41"/>
      <c r="AF215" s="41"/>
    </row>
    <row r="216" spans="1:32" ht="16" customHeight="1" x14ac:dyDescent="0.2">
      <c r="A216" s="37"/>
      <c r="B216" s="174"/>
      <c r="C216" s="175"/>
      <c r="D216" s="182" t="s">
        <v>99</v>
      </c>
      <c r="E216" s="183"/>
      <c r="F216" s="183"/>
      <c r="G216" s="184"/>
      <c r="H216" s="185" t="s">
        <v>101</v>
      </c>
      <c r="I216" s="183"/>
      <c r="J216" s="183"/>
      <c r="K216" s="184"/>
      <c r="L216" s="183" t="s">
        <v>100</v>
      </c>
      <c r="M216" s="183"/>
      <c r="N216" s="183"/>
      <c r="O216" s="182" t="s">
        <v>99</v>
      </c>
      <c r="P216" s="183"/>
      <c r="Q216" s="183"/>
      <c r="R216" s="183"/>
      <c r="S216" s="185" t="s">
        <v>100</v>
      </c>
      <c r="T216" s="183"/>
      <c r="U216" s="186"/>
      <c r="V216" s="183" t="s">
        <v>99</v>
      </c>
      <c r="W216" s="183"/>
      <c r="X216" s="183"/>
      <c r="Y216" s="183"/>
      <c r="Z216" s="185" t="s">
        <v>100</v>
      </c>
      <c r="AA216" s="183"/>
      <c r="AB216" s="187"/>
      <c r="AC216" s="37"/>
      <c r="AD216" s="41"/>
      <c r="AE216" s="41"/>
      <c r="AF216" s="41"/>
    </row>
    <row r="217" spans="1:32" ht="16" customHeight="1" x14ac:dyDescent="0.2">
      <c r="A217" s="37"/>
      <c r="B217" s="174"/>
      <c r="C217" s="175"/>
      <c r="D217" s="188" t="s">
        <v>110</v>
      </c>
      <c r="E217" s="189"/>
      <c r="F217" s="189"/>
      <c r="G217" s="190"/>
      <c r="H217" s="43" t="s">
        <v>113</v>
      </c>
      <c r="I217" s="43" t="s">
        <v>114</v>
      </c>
      <c r="J217" s="71" t="s">
        <v>115</v>
      </c>
      <c r="K217" s="53" t="s">
        <v>116</v>
      </c>
      <c r="L217" s="74" t="s">
        <v>96</v>
      </c>
      <c r="M217" s="191"/>
      <c r="N217" s="191"/>
      <c r="O217" s="188" t="s">
        <v>110</v>
      </c>
      <c r="P217" s="189"/>
      <c r="Q217" s="189"/>
      <c r="R217" s="189"/>
      <c r="S217" s="77" t="s">
        <v>96</v>
      </c>
      <c r="T217" s="191"/>
      <c r="U217" s="192"/>
      <c r="V217" s="189" t="s">
        <v>110</v>
      </c>
      <c r="W217" s="189"/>
      <c r="X217" s="189"/>
      <c r="Y217" s="189"/>
      <c r="Z217" s="77" t="s">
        <v>96</v>
      </c>
      <c r="AA217" s="191"/>
      <c r="AB217" s="193"/>
      <c r="AC217" s="37"/>
      <c r="AD217" s="41"/>
      <c r="AE217" s="41"/>
      <c r="AF217" s="41"/>
    </row>
    <row r="218" spans="1:32" ht="16" customHeight="1" x14ac:dyDescent="0.2">
      <c r="A218" s="37"/>
      <c r="B218" s="174"/>
      <c r="C218" s="175"/>
      <c r="D218" s="82" t="s">
        <v>53</v>
      </c>
      <c r="E218" s="41" t="s">
        <v>54</v>
      </c>
      <c r="F218" s="41" t="s">
        <v>90</v>
      </c>
      <c r="G218" s="53" t="s">
        <v>55</v>
      </c>
      <c r="H218" s="43" t="s">
        <v>102</v>
      </c>
      <c r="I218" s="43">
        <f>F219</f>
        <v>2.1566358024691359E-3</v>
      </c>
      <c r="J218" s="71"/>
      <c r="K218" s="52" t="str">
        <f>IF(J218="","",ABS(I218-J218))</f>
        <v/>
      </c>
      <c r="L218" s="75" t="s">
        <v>97</v>
      </c>
      <c r="M218" s="164"/>
      <c r="N218" s="164"/>
      <c r="O218" s="82" t="s">
        <v>54</v>
      </c>
      <c r="P218" s="41" t="s">
        <v>65</v>
      </c>
      <c r="Q218" s="67" t="s">
        <v>117</v>
      </c>
      <c r="R218" s="41" t="s">
        <v>116</v>
      </c>
      <c r="S218" s="78" t="s">
        <v>97</v>
      </c>
      <c r="T218" s="164"/>
      <c r="U218" s="168"/>
      <c r="V218" s="41" t="s">
        <v>54</v>
      </c>
      <c r="W218" s="41" t="s">
        <v>65</v>
      </c>
      <c r="X218" s="67" t="s">
        <v>117</v>
      </c>
      <c r="Y218" s="41" t="s">
        <v>116</v>
      </c>
      <c r="Z218" s="78" t="s">
        <v>97</v>
      </c>
      <c r="AA218" s="164"/>
      <c r="AB218" s="169"/>
      <c r="AC218" s="37"/>
      <c r="AD218" s="41"/>
      <c r="AE218" s="41"/>
      <c r="AF218" s="41"/>
    </row>
    <row r="219" spans="1:32" ht="16" customHeight="1" x14ac:dyDescent="0.2">
      <c r="A219" s="37"/>
      <c r="B219" s="174"/>
      <c r="C219" s="175"/>
      <c r="D219" s="82" t="s">
        <v>63</v>
      </c>
      <c r="E219" s="41">
        <v>800</v>
      </c>
      <c r="F219" s="43">
        <f>F145</f>
        <v>2.1566358024691359E-3</v>
      </c>
      <c r="G219" s="53" t="s">
        <v>127</v>
      </c>
      <c r="H219" s="43" t="s">
        <v>103</v>
      </c>
      <c r="I219" s="43">
        <f>I218</f>
        <v>2.1566358024691359E-3</v>
      </c>
      <c r="J219" s="71"/>
      <c r="K219" s="52" t="str">
        <f t="shared" ref="K219:K222" si="40">IF(J219="","",ABS(I219-J219))</f>
        <v/>
      </c>
      <c r="L219" s="75" t="s">
        <v>98</v>
      </c>
      <c r="M219" s="164"/>
      <c r="N219" s="164"/>
      <c r="O219" s="82" t="s">
        <v>122</v>
      </c>
      <c r="P219" s="43">
        <f>S143</f>
        <v>3.0324074074074073E-3</v>
      </c>
      <c r="Q219" s="71"/>
      <c r="R219" s="52" t="str">
        <f>IF(Q219="","",ABS(P219-Q219))</f>
        <v/>
      </c>
      <c r="S219" s="78" t="s">
        <v>98</v>
      </c>
      <c r="T219" s="164"/>
      <c r="U219" s="168"/>
      <c r="V219" s="41" t="s">
        <v>128</v>
      </c>
      <c r="W219" s="43">
        <f>S145</f>
        <v>3.2523148148148147E-3</v>
      </c>
      <c r="X219" s="71"/>
      <c r="Y219" s="52" t="str">
        <f>IF(X219="","",ABS(W219-X219))</f>
        <v/>
      </c>
      <c r="Z219" s="78" t="s">
        <v>98</v>
      </c>
      <c r="AA219" s="164"/>
      <c r="AB219" s="169"/>
      <c r="AC219" s="37"/>
      <c r="AD219" s="41"/>
      <c r="AE219" s="41"/>
      <c r="AF219" s="41"/>
    </row>
    <row r="220" spans="1:32" ht="16" customHeight="1" x14ac:dyDescent="0.2">
      <c r="A220" s="37"/>
      <c r="B220" s="174"/>
      <c r="C220" s="175"/>
      <c r="D220" s="165" t="s">
        <v>111</v>
      </c>
      <c r="E220" s="166"/>
      <c r="F220" s="166"/>
      <c r="G220" s="167"/>
      <c r="H220" s="43" t="s">
        <v>104</v>
      </c>
      <c r="I220" s="43">
        <f t="shared" ref="I220:I222" si="41">I219</f>
        <v>2.1566358024691359E-3</v>
      </c>
      <c r="J220" s="71"/>
      <c r="K220" s="52" t="str">
        <f t="shared" si="40"/>
        <v/>
      </c>
      <c r="L220" s="170" t="s">
        <v>112</v>
      </c>
      <c r="M220" s="171"/>
      <c r="N220" s="90"/>
      <c r="O220" s="82" t="s">
        <v>122</v>
      </c>
      <c r="P220" s="43">
        <f>S146</f>
        <v>3.7268518518518519E-3</v>
      </c>
      <c r="Q220" s="71"/>
      <c r="R220" s="52" t="str">
        <f t="shared" ref="R220:R221" si="42">IF(Q220="","",ABS(P220-Q220))</f>
        <v/>
      </c>
      <c r="S220" s="170" t="s">
        <v>112</v>
      </c>
      <c r="T220" s="171"/>
      <c r="U220" s="83"/>
      <c r="V220" s="166" t="s">
        <v>111</v>
      </c>
      <c r="W220" s="166"/>
      <c r="X220" s="166"/>
      <c r="Y220" s="167"/>
      <c r="Z220" s="170" t="s">
        <v>112</v>
      </c>
      <c r="AA220" s="171"/>
      <c r="AB220" s="80"/>
      <c r="AC220" s="37"/>
      <c r="AD220" s="41"/>
      <c r="AE220" s="41"/>
      <c r="AF220" s="41"/>
    </row>
    <row r="221" spans="1:32" ht="16" customHeight="1" x14ac:dyDescent="0.2">
      <c r="A221" s="37"/>
      <c r="B221" s="174"/>
      <c r="C221" s="175"/>
      <c r="D221" s="82"/>
      <c r="E221" s="41"/>
      <c r="F221" s="43"/>
      <c r="G221" s="53"/>
      <c r="H221" s="43" t="s">
        <v>105</v>
      </c>
      <c r="I221" s="43">
        <f t="shared" si="41"/>
        <v>2.1566358024691359E-3</v>
      </c>
      <c r="J221" s="71"/>
      <c r="K221" s="52" t="str">
        <f t="shared" si="40"/>
        <v/>
      </c>
      <c r="L221" s="163" t="s">
        <v>88</v>
      </c>
      <c r="M221" s="164"/>
      <c r="N221" s="164"/>
      <c r="O221" s="82" t="s">
        <v>118</v>
      </c>
      <c r="P221" s="43">
        <f>S143</f>
        <v>3.0324074074074073E-3</v>
      </c>
      <c r="Q221" s="71"/>
      <c r="R221" s="52" t="str">
        <f t="shared" si="42"/>
        <v/>
      </c>
      <c r="S221" s="163" t="s">
        <v>88</v>
      </c>
      <c r="T221" s="164"/>
      <c r="U221" s="168"/>
      <c r="V221" s="30"/>
      <c r="W221" s="30"/>
      <c r="X221" s="30"/>
      <c r="Y221" s="30"/>
      <c r="Z221" s="163" t="s">
        <v>88</v>
      </c>
      <c r="AA221" s="164"/>
      <c r="AB221" s="169"/>
      <c r="AC221" s="37"/>
      <c r="AD221" s="41"/>
      <c r="AE221" s="41"/>
      <c r="AF221" s="41"/>
    </row>
    <row r="222" spans="1:32" ht="16" customHeight="1" x14ac:dyDescent="0.2">
      <c r="A222" s="37"/>
      <c r="B222" s="174"/>
      <c r="C222" s="175"/>
      <c r="D222" s="82"/>
      <c r="E222" s="41"/>
      <c r="F222" s="43"/>
      <c r="G222" s="53"/>
      <c r="H222" s="43" t="s">
        <v>106</v>
      </c>
      <c r="I222" s="43">
        <f t="shared" si="41"/>
        <v>2.1566358024691359E-3</v>
      </c>
      <c r="J222" s="71"/>
      <c r="K222" s="52" t="str">
        <f t="shared" si="40"/>
        <v/>
      </c>
      <c r="L222" s="163"/>
      <c r="M222" s="164"/>
      <c r="N222" s="164"/>
      <c r="O222" s="82" t="s">
        <v>122</v>
      </c>
      <c r="P222" s="43">
        <f>S146</f>
        <v>3.7268518518518519E-3</v>
      </c>
      <c r="Q222" s="71"/>
      <c r="R222" s="52" t="str">
        <f t="shared" ref="R222:R223" si="43">IF(Q222="","",ABS(P222-Q222))</f>
        <v/>
      </c>
      <c r="S222" s="163"/>
      <c r="T222" s="164"/>
      <c r="U222" s="168"/>
      <c r="V222" s="30"/>
      <c r="W222" s="30"/>
      <c r="X222" s="30"/>
      <c r="Y222" s="30"/>
      <c r="Z222" s="163"/>
      <c r="AA222" s="164"/>
      <c r="AB222" s="169"/>
      <c r="AC222" s="37"/>
      <c r="AD222" s="41"/>
      <c r="AE222" s="41"/>
      <c r="AF222" s="41"/>
    </row>
    <row r="223" spans="1:32" ht="16" customHeight="1" x14ac:dyDescent="0.2">
      <c r="A223" s="37"/>
      <c r="B223" s="174"/>
      <c r="C223" s="175"/>
      <c r="D223" s="82"/>
      <c r="E223" s="41"/>
      <c r="F223" s="43"/>
      <c r="G223" s="53"/>
      <c r="H223" s="43" t="s">
        <v>107</v>
      </c>
      <c r="I223" s="43">
        <f>I220</f>
        <v>2.1566358024691359E-3</v>
      </c>
      <c r="J223" s="71"/>
      <c r="K223" s="52"/>
      <c r="L223" s="41"/>
      <c r="M223" s="41"/>
      <c r="N223" s="41"/>
      <c r="O223" s="82" t="s">
        <v>122</v>
      </c>
      <c r="P223" s="43">
        <f>P221</f>
        <v>3.0324074074074073E-3</v>
      </c>
      <c r="Q223" s="71"/>
      <c r="R223" s="52" t="str">
        <f t="shared" si="43"/>
        <v/>
      </c>
      <c r="S223" s="50"/>
      <c r="T223" s="41"/>
      <c r="U223" s="86"/>
      <c r="V223" s="30"/>
      <c r="W223" s="30"/>
      <c r="X223" s="30"/>
      <c r="Y223" s="30"/>
      <c r="Z223" s="50"/>
      <c r="AA223" s="41"/>
      <c r="AB223" s="44"/>
      <c r="AC223" s="37"/>
      <c r="AD223" s="41"/>
      <c r="AE223" s="41"/>
      <c r="AF223" s="41"/>
    </row>
    <row r="224" spans="1:32" ht="16" customHeight="1" thickBot="1" x14ac:dyDescent="0.25">
      <c r="A224" s="37"/>
      <c r="B224" s="174"/>
      <c r="C224" s="175"/>
      <c r="D224" s="82"/>
      <c r="E224" s="41"/>
      <c r="F224" s="43"/>
      <c r="G224" s="53"/>
      <c r="H224" s="43"/>
      <c r="I224" s="43"/>
      <c r="J224" s="71"/>
      <c r="K224" s="52"/>
      <c r="L224" s="41"/>
      <c r="M224" s="41"/>
      <c r="N224" s="30"/>
      <c r="O224" s="165" t="s">
        <v>111</v>
      </c>
      <c r="P224" s="166"/>
      <c r="Q224" s="166"/>
      <c r="R224" s="167"/>
      <c r="S224" s="50"/>
      <c r="T224" s="41"/>
      <c r="U224" s="85"/>
      <c r="V224" s="30"/>
      <c r="W224" s="30"/>
      <c r="X224" s="30"/>
      <c r="Y224" s="30"/>
      <c r="Z224" s="50"/>
      <c r="AA224" s="41"/>
      <c r="AB224" s="35"/>
      <c r="AC224" s="37"/>
      <c r="AD224" s="41"/>
      <c r="AE224" s="41"/>
      <c r="AF224" s="41"/>
    </row>
    <row r="225" spans="1:32" ht="16" customHeight="1" x14ac:dyDescent="0.2">
      <c r="A225" s="37"/>
      <c r="B225" s="172">
        <f>B215+1</f>
        <v>9</v>
      </c>
      <c r="C225" s="173"/>
      <c r="D225" s="178">
        <f>D147+(B225-1)*7</f>
        <v>42710</v>
      </c>
      <c r="E225" s="179"/>
      <c r="F225" s="179"/>
      <c r="G225" s="179"/>
      <c r="H225" s="179"/>
      <c r="I225" s="179"/>
      <c r="J225" s="179"/>
      <c r="K225" s="179"/>
      <c r="L225" s="179"/>
      <c r="M225" s="179"/>
      <c r="N225" s="179"/>
      <c r="O225" s="178">
        <f>O147+(B225-1)*7</f>
        <v>42713</v>
      </c>
      <c r="P225" s="179"/>
      <c r="Q225" s="179"/>
      <c r="R225" s="179"/>
      <c r="S225" s="179"/>
      <c r="T225" s="179"/>
      <c r="U225" s="180"/>
      <c r="V225" s="179">
        <f>V147+(B225-1)*7</f>
        <v>42715</v>
      </c>
      <c r="W225" s="179"/>
      <c r="X225" s="179"/>
      <c r="Y225" s="179"/>
      <c r="Z225" s="179"/>
      <c r="AA225" s="179"/>
      <c r="AB225" s="181"/>
      <c r="AC225" s="37"/>
      <c r="AD225" s="41"/>
      <c r="AE225" s="41"/>
      <c r="AF225" s="41"/>
    </row>
    <row r="226" spans="1:32" ht="16" customHeight="1" x14ac:dyDescent="0.2">
      <c r="A226" s="37"/>
      <c r="B226" s="174"/>
      <c r="C226" s="175"/>
      <c r="D226" s="182" t="s">
        <v>99</v>
      </c>
      <c r="E226" s="183"/>
      <c r="F226" s="183"/>
      <c r="G226" s="184"/>
      <c r="H226" s="185" t="s">
        <v>101</v>
      </c>
      <c r="I226" s="183"/>
      <c r="J226" s="183"/>
      <c r="K226" s="184"/>
      <c r="L226" s="183" t="s">
        <v>100</v>
      </c>
      <c r="M226" s="183"/>
      <c r="N226" s="183"/>
      <c r="O226" s="182" t="s">
        <v>99</v>
      </c>
      <c r="P226" s="183"/>
      <c r="Q226" s="183"/>
      <c r="R226" s="183"/>
      <c r="S226" s="185" t="s">
        <v>100</v>
      </c>
      <c r="T226" s="183"/>
      <c r="U226" s="186"/>
      <c r="V226" s="183" t="s">
        <v>99</v>
      </c>
      <c r="W226" s="183"/>
      <c r="X226" s="183"/>
      <c r="Y226" s="183"/>
      <c r="Z226" s="185" t="s">
        <v>100</v>
      </c>
      <c r="AA226" s="183"/>
      <c r="AB226" s="187"/>
      <c r="AC226" s="37"/>
      <c r="AD226" s="41"/>
      <c r="AE226" s="41"/>
      <c r="AF226" s="41"/>
    </row>
    <row r="227" spans="1:32" ht="16" customHeight="1" x14ac:dyDescent="0.2">
      <c r="A227" s="37"/>
      <c r="B227" s="174"/>
      <c r="C227" s="175"/>
      <c r="D227" s="188" t="s">
        <v>110</v>
      </c>
      <c r="E227" s="189"/>
      <c r="F227" s="189"/>
      <c r="G227" s="190"/>
      <c r="H227" s="43" t="s">
        <v>113</v>
      </c>
      <c r="I227" s="43" t="s">
        <v>114</v>
      </c>
      <c r="J227" s="71" t="s">
        <v>115</v>
      </c>
      <c r="K227" s="53" t="s">
        <v>116</v>
      </c>
      <c r="L227" s="74" t="s">
        <v>96</v>
      </c>
      <c r="M227" s="191"/>
      <c r="N227" s="191"/>
      <c r="O227" s="188" t="s">
        <v>110</v>
      </c>
      <c r="P227" s="189"/>
      <c r="Q227" s="189"/>
      <c r="R227" s="189"/>
      <c r="S227" s="77" t="s">
        <v>96</v>
      </c>
      <c r="T227" s="191"/>
      <c r="U227" s="192"/>
      <c r="V227" s="189" t="s">
        <v>110</v>
      </c>
      <c r="W227" s="189"/>
      <c r="X227" s="189"/>
      <c r="Y227" s="189"/>
      <c r="Z227" s="77" t="s">
        <v>96</v>
      </c>
      <c r="AA227" s="191"/>
      <c r="AB227" s="193"/>
      <c r="AC227" s="37"/>
      <c r="AD227" s="41"/>
      <c r="AE227" s="41"/>
      <c r="AF227" s="41"/>
    </row>
    <row r="228" spans="1:32" ht="16" customHeight="1" x14ac:dyDescent="0.2">
      <c r="A228" s="37"/>
      <c r="B228" s="174"/>
      <c r="C228" s="175"/>
      <c r="D228" s="82" t="s">
        <v>53</v>
      </c>
      <c r="E228" s="41" t="s">
        <v>54</v>
      </c>
      <c r="F228" s="41" t="s">
        <v>90</v>
      </c>
      <c r="G228" s="53" t="s">
        <v>55</v>
      </c>
      <c r="H228" s="43" t="s">
        <v>102</v>
      </c>
      <c r="I228" s="43">
        <f>F229</f>
        <v>3.3135609567901229E-3</v>
      </c>
      <c r="J228" s="71"/>
      <c r="K228" s="52" t="str">
        <f>IF(J228="","",ABS(I228-J228))</f>
        <v/>
      </c>
      <c r="L228" s="75" t="s">
        <v>97</v>
      </c>
      <c r="M228" s="164"/>
      <c r="N228" s="164"/>
      <c r="O228" s="82" t="s">
        <v>54</v>
      </c>
      <c r="P228" s="41" t="s">
        <v>65</v>
      </c>
      <c r="Q228" s="67" t="s">
        <v>117</v>
      </c>
      <c r="R228" s="41" t="s">
        <v>116</v>
      </c>
      <c r="S228" s="78" t="s">
        <v>97</v>
      </c>
      <c r="T228" s="164"/>
      <c r="U228" s="168"/>
      <c r="V228" s="41" t="s">
        <v>54</v>
      </c>
      <c r="W228" s="41" t="s">
        <v>65</v>
      </c>
      <c r="X228" s="67" t="s">
        <v>117</v>
      </c>
      <c r="Y228" s="41" t="s">
        <v>116</v>
      </c>
      <c r="Z228" s="78" t="s">
        <v>97</v>
      </c>
      <c r="AA228" s="164"/>
      <c r="AB228" s="169"/>
      <c r="AC228" s="37"/>
      <c r="AD228" s="41"/>
      <c r="AE228" s="41"/>
      <c r="AF228" s="41"/>
    </row>
    <row r="229" spans="1:32" ht="16" customHeight="1" x14ac:dyDescent="0.2">
      <c r="A229" s="37"/>
      <c r="B229" s="174"/>
      <c r="C229" s="175"/>
      <c r="D229" s="82" t="s">
        <v>61</v>
      </c>
      <c r="E229" s="41">
        <v>1200</v>
      </c>
      <c r="F229" s="43">
        <f>L143</f>
        <v>3.3135609567901229E-3</v>
      </c>
      <c r="G229" s="53" t="s">
        <v>57</v>
      </c>
      <c r="H229" s="43" t="s">
        <v>103</v>
      </c>
      <c r="I229" s="43">
        <f>F229</f>
        <v>3.3135609567901229E-3</v>
      </c>
      <c r="J229" s="71"/>
      <c r="K229" s="52" t="str">
        <f t="shared" ref="K229:K232" si="44">IF(J229="","",ABS(I229-J229))</f>
        <v/>
      </c>
      <c r="L229" s="75" t="s">
        <v>98</v>
      </c>
      <c r="M229" s="164"/>
      <c r="N229" s="164"/>
      <c r="O229" s="82" t="s">
        <v>120</v>
      </c>
      <c r="P229" s="43">
        <f>S143</f>
        <v>3.0324074074074073E-3</v>
      </c>
      <c r="Q229" s="71"/>
      <c r="R229" s="52" t="str">
        <f>IF(Q229="","",ABS(P229-Q229))</f>
        <v/>
      </c>
      <c r="S229" s="78" t="s">
        <v>98</v>
      </c>
      <c r="T229" s="164"/>
      <c r="U229" s="168"/>
      <c r="V229" s="41" t="s">
        <v>139</v>
      </c>
      <c r="W229" s="43">
        <f>S145</f>
        <v>3.2523148148148147E-3</v>
      </c>
      <c r="X229" s="71"/>
      <c r="Y229" s="52" t="str">
        <f>IF(X229="","",ABS(W229-X229))</f>
        <v/>
      </c>
      <c r="Z229" s="78" t="s">
        <v>98</v>
      </c>
      <c r="AA229" s="164"/>
      <c r="AB229" s="169"/>
      <c r="AC229" s="37"/>
      <c r="AD229" s="41"/>
      <c r="AE229" s="41"/>
      <c r="AF229" s="41"/>
    </row>
    <row r="230" spans="1:32" ht="16" customHeight="1" x14ac:dyDescent="0.2">
      <c r="A230" s="37"/>
      <c r="B230" s="174"/>
      <c r="C230" s="175"/>
      <c r="D230" s="165" t="s">
        <v>111</v>
      </c>
      <c r="E230" s="166"/>
      <c r="F230" s="166"/>
      <c r="G230" s="167"/>
      <c r="H230" s="43" t="s">
        <v>104</v>
      </c>
      <c r="I230" s="43">
        <f>F229</f>
        <v>3.3135609567901229E-3</v>
      </c>
      <c r="J230" s="71"/>
      <c r="K230" s="52" t="str">
        <f t="shared" si="44"/>
        <v/>
      </c>
      <c r="L230" s="170" t="s">
        <v>112</v>
      </c>
      <c r="M230" s="171"/>
      <c r="N230" s="90"/>
      <c r="O230" s="165" t="s">
        <v>111</v>
      </c>
      <c r="P230" s="166"/>
      <c r="Q230" s="166"/>
      <c r="R230" s="167"/>
      <c r="S230" s="170" t="s">
        <v>112</v>
      </c>
      <c r="T230" s="171"/>
      <c r="U230" s="83"/>
      <c r="V230" s="166" t="s">
        <v>111</v>
      </c>
      <c r="W230" s="166"/>
      <c r="X230" s="166"/>
      <c r="Y230" s="167"/>
      <c r="Z230" s="170" t="s">
        <v>112</v>
      </c>
      <c r="AA230" s="171"/>
      <c r="AB230" s="80"/>
      <c r="AC230" s="37"/>
      <c r="AD230" s="41"/>
      <c r="AE230" s="41"/>
      <c r="AF230" s="41"/>
    </row>
    <row r="231" spans="1:32" ht="16" customHeight="1" x14ac:dyDescent="0.2">
      <c r="A231" s="37"/>
      <c r="B231" s="174"/>
      <c r="C231" s="175"/>
      <c r="D231" s="165"/>
      <c r="E231" s="166"/>
      <c r="F231" s="166"/>
      <c r="G231" s="167"/>
      <c r="H231" s="43" t="s">
        <v>105</v>
      </c>
      <c r="I231" s="43">
        <f>F229</f>
        <v>3.3135609567901229E-3</v>
      </c>
      <c r="J231" s="71"/>
      <c r="K231" s="52" t="str">
        <f t="shared" si="44"/>
        <v/>
      </c>
      <c r="L231" s="163" t="s">
        <v>88</v>
      </c>
      <c r="M231" s="164"/>
      <c r="N231" s="164"/>
      <c r="O231" s="82"/>
      <c r="P231" s="43"/>
      <c r="Q231" s="41"/>
      <c r="R231" s="52"/>
      <c r="S231" s="163" t="s">
        <v>88</v>
      </c>
      <c r="T231" s="164"/>
      <c r="U231" s="168"/>
      <c r="V231" s="30"/>
      <c r="W231" s="30"/>
      <c r="X231" s="30"/>
      <c r="Y231" s="30"/>
      <c r="Z231" s="163" t="s">
        <v>88</v>
      </c>
      <c r="AA231" s="164"/>
      <c r="AB231" s="169"/>
      <c r="AC231" s="37"/>
      <c r="AD231" s="41"/>
      <c r="AE231" s="41"/>
      <c r="AF231" s="41"/>
    </row>
    <row r="232" spans="1:32" ht="16" customHeight="1" thickBot="1" x14ac:dyDescent="0.25">
      <c r="A232" s="37"/>
      <c r="B232" s="174"/>
      <c r="C232" s="175"/>
      <c r="D232" s="84"/>
      <c r="E232" s="43"/>
      <c r="F232" s="43"/>
      <c r="G232" s="53"/>
      <c r="H232" s="43"/>
      <c r="I232" s="43"/>
      <c r="J232" s="71"/>
      <c r="K232" s="52" t="str">
        <f t="shared" si="44"/>
        <v/>
      </c>
      <c r="L232" s="163"/>
      <c r="M232" s="164"/>
      <c r="N232" s="164"/>
      <c r="O232" s="165"/>
      <c r="P232" s="166"/>
      <c r="Q232" s="166"/>
      <c r="R232" s="167"/>
      <c r="S232" s="163"/>
      <c r="T232" s="164"/>
      <c r="U232" s="168"/>
      <c r="V232" s="30"/>
      <c r="W232" s="30"/>
      <c r="X232" s="30"/>
      <c r="Y232" s="30"/>
      <c r="Z232" s="163"/>
      <c r="AA232" s="164"/>
      <c r="AB232" s="169"/>
      <c r="AC232" s="37"/>
      <c r="AD232" s="41"/>
      <c r="AE232" s="41"/>
      <c r="AF232" s="41"/>
    </row>
    <row r="233" spans="1:32" ht="16" customHeight="1" x14ac:dyDescent="0.2">
      <c r="A233" s="37"/>
      <c r="B233" s="172">
        <f>B225+1</f>
        <v>10</v>
      </c>
      <c r="C233" s="173"/>
      <c r="D233" s="178">
        <f>D147+(B233-1)*7</f>
        <v>42717</v>
      </c>
      <c r="E233" s="179"/>
      <c r="F233" s="179"/>
      <c r="G233" s="179"/>
      <c r="H233" s="179"/>
      <c r="I233" s="179"/>
      <c r="J233" s="179"/>
      <c r="K233" s="179"/>
      <c r="L233" s="179"/>
      <c r="M233" s="179"/>
      <c r="N233" s="179"/>
      <c r="O233" s="178">
        <f>O147+(B233-1)*7</f>
        <v>42720</v>
      </c>
      <c r="P233" s="179"/>
      <c r="Q233" s="179"/>
      <c r="R233" s="179"/>
      <c r="S233" s="179"/>
      <c r="T233" s="179"/>
      <c r="U233" s="180"/>
      <c r="V233" s="179">
        <f>V147+(B233-1)*7</f>
        <v>42722</v>
      </c>
      <c r="W233" s="179"/>
      <c r="X233" s="179"/>
      <c r="Y233" s="179"/>
      <c r="Z233" s="179"/>
      <c r="AA233" s="179"/>
      <c r="AB233" s="181"/>
      <c r="AC233" s="37"/>
      <c r="AD233" s="41"/>
      <c r="AE233" s="41"/>
      <c r="AF233" s="41"/>
    </row>
    <row r="234" spans="1:32" ht="16" customHeight="1" x14ac:dyDescent="0.2">
      <c r="A234" s="37"/>
      <c r="B234" s="174"/>
      <c r="C234" s="175"/>
      <c r="D234" s="182" t="s">
        <v>99</v>
      </c>
      <c r="E234" s="183"/>
      <c r="F234" s="183"/>
      <c r="G234" s="184"/>
      <c r="H234" s="185" t="s">
        <v>101</v>
      </c>
      <c r="I234" s="183"/>
      <c r="J234" s="183"/>
      <c r="K234" s="184"/>
      <c r="L234" s="183" t="s">
        <v>100</v>
      </c>
      <c r="M234" s="183"/>
      <c r="N234" s="183"/>
      <c r="O234" s="182" t="s">
        <v>99</v>
      </c>
      <c r="P234" s="183"/>
      <c r="Q234" s="183"/>
      <c r="R234" s="183"/>
      <c r="S234" s="185" t="s">
        <v>100</v>
      </c>
      <c r="T234" s="183"/>
      <c r="U234" s="186"/>
      <c r="V234" s="183" t="s">
        <v>99</v>
      </c>
      <c r="W234" s="183"/>
      <c r="X234" s="183"/>
      <c r="Y234" s="183"/>
      <c r="Z234" s="185" t="s">
        <v>100</v>
      </c>
      <c r="AA234" s="183"/>
      <c r="AB234" s="187"/>
      <c r="AC234" s="37"/>
      <c r="AD234" s="41"/>
      <c r="AE234" s="41"/>
      <c r="AF234" s="41"/>
    </row>
    <row r="235" spans="1:32" ht="16" customHeight="1" x14ac:dyDescent="0.2">
      <c r="A235" s="37"/>
      <c r="B235" s="174"/>
      <c r="C235" s="175"/>
      <c r="D235" s="188" t="s">
        <v>110</v>
      </c>
      <c r="E235" s="189"/>
      <c r="F235" s="189"/>
      <c r="G235" s="190"/>
      <c r="H235" s="43" t="s">
        <v>113</v>
      </c>
      <c r="I235" s="43" t="s">
        <v>114</v>
      </c>
      <c r="J235" s="71" t="s">
        <v>115</v>
      </c>
      <c r="K235" s="53" t="s">
        <v>116</v>
      </c>
      <c r="L235" s="74" t="s">
        <v>96</v>
      </c>
      <c r="M235" s="191"/>
      <c r="N235" s="191"/>
      <c r="O235" s="188" t="s">
        <v>110</v>
      </c>
      <c r="P235" s="189"/>
      <c r="Q235" s="189"/>
      <c r="R235" s="189"/>
      <c r="S235" s="77" t="s">
        <v>96</v>
      </c>
      <c r="T235" s="191"/>
      <c r="U235" s="192"/>
      <c r="V235" s="189" t="s">
        <v>110</v>
      </c>
      <c r="W235" s="189"/>
      <c r="X235" s="189"/>
      <c r="Y235" s="189"/>
      <c r="Z235" s="77" t="s">
        <v>96</v>
      </c>
      <c r="AA235" s="191"/>
      <c r="AB235" s="193"/>
      <c r="AC235" s="37"/>
      <c r="AD235" s="41"/>
      <c r="AE235" s="41"/>
      <c r="AF235" s="41"/>
    </row>
    <row r="236" spans="1:32" ht="16" customHeight="1" x14ac:dyDescent="0.2">
      <c r="A236" s="37"/>
      <c r="B236" s="174"/>
      <c r="C236" s="175"/>
      <c r="D236" s="82" t="s">
        <v>53</v>
      </c>
      <c r="E236" s="41" t="s">
        <v>54</v>
      </c>
      <c r="F236" s="41" t="s">
        <v>90</v>
      </c>
      <c r="G236" s="53" t="s">
        <v>55</v>
      </c>
      <c r="H236" s="43" t="s">
        <v>102</v>
      </c>
      <c r="I236" s="43">
        <f>F237</f>
        <v>2.7247299382716049E-3</v>
      </c>
      <c r="J236" s="71"/>
      <c r="K236" s="52" t="str">
        <f>IF(J236="","",ABS(I236-J236))</f>
        <v/>
      </c>
      <c r="L236" s="75" t="s">
        <v>97</v>
      </c>
      <c r="M236" s="164"/>
      <c r="N236" s="164"/>
      <c r="O236" s="82" t="s">
        <v>54</v>
      </c>
      <c r="P236" s="41" t="s">
        <v>65</v>
      </c>
      <c r="Q236" s="67" t="s">
        <v>117</v>
      </c>
      <c r="R236" s="41" t="s">
        <v>116</v>
      </c>
      <c r="S236" s="78" t="s">
        <v>97</v>
      </c>
      <c r="T236" s="164"/>
      <c r="U236" s="168"/>
      <c r="V236" s="41" t="s">
        <v>54</v>
      </c>
      <c r="W236" s="41" t="s">
        <v>65</v>
      </c>
      <c r="X236" s="67" t="s">
        <v>117</v>
      </c>
      <c r="Y236" s="41" t="s">
        <v>116</v>
      </c>
      <c r="Z236" s="78" t="s">
        <v>97</v>
      </c>
      <c r="AA236" s="164"/>
      <c r="AB236" s="169"/>
      <c r="AC236" s="37"/>
      <c r="AD236" s="41"/>
      <c r="AE236" s="41"/>
      <c r="AF236" s="41"/>
    </row>
    <row r="237" spans="1:32" ht="16" customHeight="1" x14ac:dyDescent="0.2">
      <c r="A237" s="37"/>
      <c r="B237" s="174"/>
      <c r="C237" s="175"/>
      <c r="D237" s="82" t="s">
        <v>58</v>
      </c>
      <c r="E237" s="41">
        <v>1000</v>
      </c>
      <c r="F237" s="43">
        <f>F146</f>
        <v>2.7247299382716049E-3</v>
      </c>
      <c r="G237" s="53" t="s">
        <v>57</v>
      </c>
      <c r="H237" s="43" t="s">
        <v>103</v>
      </c>
      <c r="I237" s="43">
        <f>I236</f>
        <v>2.7247299382716049E-3</v>
      </c>
      <c r="J237" s="71"/>
      <c r="K237" s="52" t="str">
        <f t="shared" ref="K237:K240" si="45">IF(J237="","",ABS(I237-J237))</f>
        <v/>
      </c>
      <c r="L237" s="75" t="s">
        <v>98</v>
      </c>
      <c r="M237" s="164"/>
      <c r="N237" s="164"/>
      <c r="O237" s="82" t="s">
        <v>121</v>
      </c>
      <c r="P237" s="43">
        <f>S144</f>
        <v>3.1481481481481482E-3</v>
      </c>
      <c r="Q237" s="71"/>
      <c r="R237" s="52" t="str">
        <f>IF(Q237="","",ABS(P237-Q237))</f>
        <v/>
      </c>
      <c r="S237" s="78" t="s">
        <v>98</v>
      </c>
      <c r="T237" s="164"/>
      <c r="U237" s="168"/>
      <c r="V237" s="41" t="s">
        <v>128</v>
      </c>
      <c r="W237" s="43">
        <f>S145</f>
        <v>3.2523148148148147E-3</v>
      </c>
      <c r="X237" s="71"/>
      <c r="Y237" s="52" t="str">
        <f>IF(X237="","",ABS(W237-X237))</f>
        <v/>
      </c>
      <c r="Z237" s="78" t="s">
        <v>98</v>
      </c>
      <c r="AA237" s="164"/>
      <c r="AB237" s="169"/>
      <c r="AC237" s="37"/>
      <c r="AD237" s="41"/>
      <c r="AE237" s="41"/>
      <c r="AF237" s="41"/>
    </row>
    <row r="238" spans="1:32" ht="16" customHeight="1" x14ac:dyDescent="0.2">
      <c r="A238" s="37"/>
      <c r="B238" s="174"/>
      <c r="C238" s="175"/>
      <c r="D238" s="165" t="s">
        <v>111</v>
      </c>
      <c r="E238" s="166"/>
      <c r="F238" s="166"/>
      <c r="G238" s="167"/>
      <c r="H238" s="43" t="s">
        <v>104</v>
      </c>
      <c r="I238" s="43">
        <f t="shared" ref="I238:I240" si="46">I237</f>
        <v>2.7247299382716049E-3</v>
      </c>
      <c r="J238" s="71"/>
      <c r="K238" s="52" t="str">
        <f t="shared" si="45"/>
        <v/>
      </c>
      <c r="L238" s="170" t="s">
        <v>112</v>
      </c>
      <c r="M238" s="171"/>
      <c r="N238" s="90"/>
      <c r="O238" s="165" t="s">
        <v>111</v>
      </c>
      <c r="P238" s="166"/>
      <c r="Q238" s="166"/>
      <c r="R238" s="167"/>
      <c r="S238" s="170" t="s">
        <v>112</v>
      </c>
      <c r="T238" s="171"/>
      <c r="U238" s="83"/>
      <c r="V238" s="166" t="s">
        <v>111</v>
      </c>
      <c r="W238" s="166"/>
      <c r="X238" s="166"/>
      <c r="Y238" s="167"/>
      <c r="Z238" s="170" t="s">
        <v>112</v>
      </c>
      <c r="AA238" s="171"/>
      <c r="AB238" s="80"/>
      <c r="AC238" s="37"/>
      <c r="AD238" s="41"/>
      <c r="AE238" s="41"/>
      <c r="AF238" s="41"/>
    </row>
    <row r="239" spans="1:32" ht="16" customHeight="1" x14ac:dyDescent="0.2">
      <c r="A239" s="37"/>
      <c r="B239" s="174"/>
      <c r="C239" s="175"/>
      <c r="D239" s="82"/>
      <c r="E239" s="41"/>
      <c r="F239" s="43"/>
      <c r="G239" s="53"/>
      <c r="H239" s="43" t="s">
        <v>105</v>
      </c>
      <c r="I239" s="43">
        <f t="shared" si="46"/>
        <v>2.7247299382716049E-3</v>
      </c>
      <c r="J239" s="71"/>
      <c r="K239" s="52" t="str">
        <f t="shared" si="45"/>
        <v/>
      </c>
      <c r="L239" s="163" t="s">
        <v>88</v>
      </c>
      <c r="M239" s="164"/>
      <c r="N239" s="164"/>
      <c r="O239" s="82"/>
      <c r="P239" s="43"/>
      <c r="Q239" s="43"/>
      <c r="R239" s="52"/>
      <c r="S239" s="163" t="s">
        <v>88</v>
      </c>
      <c r="T239" s="164"/>
      <c r="U239" s="168"/>
      <c r="V239" s="30"/>
      <c r="W239" s="30"/>
      <c r="X239" s="30"/>
      <c r="Y239" s="30"/>
      <c r="Z239" s="163" t="s">
        <v>88</v>
      </c>
      <c r="AA239" s="164"/>
      <c r="AB239" s="169"/>
      <c r="AC239" s="37"/>
      <c r="AD239" s="41"/>
      <c r="AE239" s="41"/>
      <c r="AF239" s="41"/>
    </row>
    <row r="240" spans="1:32" ht="16" customHeight="1" thickBot="1" x14ac:dyDescent="0.25">
      <c r="A240" s="37"/>
      <c r="B240" s="174"/>
      <c r="C240" s="175"/>
      <c r="D240" s="82"/>
      <c r="E240" s="41"/>
      <c r="F240" s="43"/>
      <c r="G240" s="53"/>
      <c r="H240" s="43" t="s">
        <v>106</v>
      </c>
      <c r="I240" s="43">
        <f t="shared" si="46"/>
        <v>2.7247299382716049E-3</v>
      </c>
      <c r="J240" s="71"/>
      <c r="K240" s="52" t="str">
        <f t="shared" si="45"/>
        <v/>
      </c>
      <c r="L240" s="163"/>
      <c r="M240" s="164"/>
      <c r="N240" s="164"/>
      <c r="O240" s="82"/>
      <c r="P240" s="43"/>
      <c r="Q240" s="43"/>
      <c r="R240" s="52"/>
      <c r="S240" s="163"/>
      <c r="T240" s="164"/>
      <c r="U240" s="168"/>
      <c r="V240" s="30"/>
      <c r="W240" s="30"/>
      <c r="X240" s="30"/>
      <c r="Y240" s="30"/>
      <c r="Z240" s="163"/>
      <c r="AA240" s="164"/>
      <c r="AB240" s="169"/>
      <c r="AC240" s="37"/>
      <c r="AD240" s="41"/>
      <c r="AE240" s="41"/>
      <c r="AF240" s="41"/>
    </row>
    <row r="241" spans="1:32" ht="16" customHeight="1" x14ac:dyDescent="0.2">
      <c r="A241" s="37"/>
      <c r="B241" s="172">
        <f>B233+1</f>
        <v>11</v>
      </c>
      <c r="C241" s="173"/>
      <c r="D241" s="178">
        <f>D147+(B241-1)*7</f>
        <v>42724</v>
      </c>
      <c r="E241" s="179"/>
      <c r="F241" s="179"/>
      <c r="G241" s="179"/>
      <c r="H241" s="179"/>
      <c r="I241" s="179"/>
      <c r="J241" s="179"/>
      <c r="K241" s="179"/>
      <c r="L241" s="179"/>
      <c r="M241" s="179"/>
      <c r="N241" s="179"/>
      <c r="O241" s="178">
        <f>O147+(B241-1)*7</f>
        <v>42727</v>
      </c>
      <c r="P241" s="179"/>
      <c r="Q241" s="179"/>
      <c r="R241" s="179"/>
      <c r="S241" s="179"/>
      <c r="T241" s="179"/>
      <c r="U241" s="180"/>
      <c r="V241" s="179">
        <f>V147+(B241-1)*7</f>
        <v>42729</v>
      </c>
      <c r="W241" s="179"/>
      <c r="X241" s="179"/>
      <c r="Y241" s="179"/>
      <c r="Z241" s="179"/>
      <c r="AA241" s="179"/>
      <c r="AB241" s="181"/>
      <c r="AC241" s="37"/>
      <c r="AD241" s="41"/>
      <c r="AE241" s="41"/>
      <c r="AF241" s="41"/>
    </row>
    <row r="242" spans="1:32" ht="16" customHeight="1" x14ac:dyDescent="0.2">
      <c r="A242" s="37"/>
      <c r="B242" s="174"/>
      <c r="C242" s="175"/>
      <c r="D242" s="182" t="s">
        <v>99</v>
      </c>
      <c r="E242" s="183"/>
      <c r="F242" s="183"/>
      <c r="G242" s="184"/>
      <c r="H242" s="185" t="s">
        <v>101</v>
      </c>
      <c r="I242" s="183"/>
      <c r="J242" s="183"/>
      <c r="K242" s="184"/>
      <c r="L242" s="183" t="s">
        <v>100</v>
      </c>
      <c r="M242" s="183"/>
      <c r="N242" s="183"/>
      <c r="O242" s="182" t="s">
        <v>99</v>
      </c>
      <c r="P242" s="183"/>
      <c r="Q242" s="183"/>
      <c r="R242" s="183"/>
      <c r="S242" s="185" t="s">
        <v>100</v>
      </c>
      <c r="T242" s="183"/>
      <c r="U242" s="186"/>
      <c r="V242" s="183" t="s">
        <v>99</v>
      </c>
      <c r="W242" s="183"/>
      <c r="X242" s="183"/>
      <c r="Y242" s="183"/>
      <c r="Z242" s="185" t="s">
        <v>100</v>
      </c>
      <c r="AA242" s="183"/>
      <c r="AB242" s="187"/>
      <c r="AC242" s="37"/>
      <c r="AD242" s="41"/>
      <c r="AE242" s="41"/>
      <c r="AF242" s="41"/>
    </row>
    <row r="243" spans="1:32" ht="16" customHeight="1" x14ac:dyDescent="0.2">
      <c r="A243" s="37"/>
      <c r="B243" s="174"/>
      <c r="C243" s="175"/>
      <c r="D243" s="188" t="s">
        <v>110</v>
      </c>
      <c r="E243" s="189"/>
      <c r="F243" s="189"/>
      <c r="G243" s="190"/>
      <c r="H243" s="43" t="s">
        <v>113</v>
      </c>
      <c r="I243" s="43" t="s">
        <v>114</v>
      </c>
      <c r="J243" s="71" t="s">
        <v>115</v>
      </c>
      <c r="K243" s="53" t="s">
        <v>116</v>
      </c>
      <c r="L243" s="74" t="s">
        <v>96</v>
      </c>
      <c r="M243" s="191"/>
      <c r="N243" s="191"/>
      <c r="O243" s="188" t="s">
        <v>110</v>
      </c>
      <c r="P243" s="189"/>
      <c r="Q243" s="189"/>
      <c r="R243" s="189"/>
      <c r="S243" s="77" t="s">
        <v>96</v>
      </c>
      <c r="T243" s="191"/>
      <c r="U243" s="192"/>
      <c r="V243" s="189" t="s">
        <v>110</v>
      </c>
      <c r="W243" s="189"/>
      <c r="X243" s="189"/>
      <c r="Y243" s="189"/>
      <c r="Z243" s="77" t="s">
        <v>96</v>
      </c>
      <c r="AA243" s="191"/>
      <c r="AB243" s="193"/>
      <c r="AC243" s="37"/>
      <c r="AD243" s="41"/>
      <c r="AE243" s="41"/>
      <c r="AF243" s="41"/>
    </row>
    <row r="244" spans="1:32" ht="16" customHeight="1" x14ac:dyDescent="0.2">
      <c r="A244" s="37"/>
      <c r="B244" s="174"/>
      <c r="C244" s="175"/>
      <c r="D244" s="82" t="s">
        <v>53</v>
      </c>
      <c r="E244" s="41" t="s">
        <v>54</v>
      </c>
      <c r="F244" s="41" t="s">
        <v>90</v>
      </c>
      <c r="G244" s="53" t="s">
        <v>55</v>
      </c>
      <c r="H244" s="43" t="s">
        <v>102</v>
      </c>
      <c r="I244" s="43">
        <f>F245</f>
        <v>4.5076195987654322E-3</v>
      </c>
      <c r="J244" s="71"/>
      <c r="K244" s="52" t="str">
        <f>IF(J244="","",ABS(I244-J244))</f>
        <v/>
      </c>
      <c r="L244" s="75" t="s">
        <v>97</v>
      </c>
      <c r="M244" s="164"/>
      <c r="N244" s="164"/>
      <c r="O244" s="82" t="s">
        <v>54</v>
      </c>
      <c r="P244" s="41" t="s">
        <v>65</v>
      </c>
      <c r="Q244" s="67" t="s">
        <v>117</v>
      </c>
      <c r="R244" s="41" t="s">
        <v>116</v>
      </c>
      <c r="S244" s="78" t="s">
        <v>97</v>
      </c>
      <c r="T244" s="164"/>
      <c r="U244" s="168"/>
      <c r="V244" s="41" t="s">
        <v>54</v>
      </c>
      <c r="W244" s="41" t="s">
        <v>65</v>
      </c>
      <c r="X244" s="67" t="s">
        <v>117</v>
      </c>
      <c r="Y244" s="41" t="s">
        <v>116</v>
      </c>
      <c r="Z244" s="78" t="s">
        <v>97</v>
      </c>
      <c r="AA244" s="164"/>
      <c r="AB244" s="169"/>
      <c r="AC244" s="37"/>
      <c r="AD244" s="41"/>
      <c r="AE244" s="41"/>
      <c r="AF244" s="41"/>
    </row>
    <row r="245" spans="1:32" ht="16" customHeight="1" x14ac:dyDescent="0.2">
      <c r="A245" s="37"/>
      <c r="B245" s="174"/>
      <c r="C245" s="175"/>
      <c r="D245" s="82" t="s">
        <v>64</v>
      </c>
      <c r="E245" s="41">
        <v>1600</v>
      </c>
      <c r="F245" s="43">
        <f>L144</f>
        <v>4.5076195987654322E-3</v>
      </c>
      <c r="G245" s="53" t="s">
        <v>57</v>
      </c>
      <c r="H245" s="43" t="s">
        <v>103</v>
      </c>
      <c r="I245" s="43">
        <f>F245</f>
        <v>4.5076195987654322E-3</v>
      </c>
      <c r="J245" s="71"/>
      <c r="K245" s="52" t="str">
        <f t="shared" ref="K245:K248" si="47">IF(J245="","",ABS(I245-J245))</f>
        <v/>
      </c>
      <c r="L245" s="75" t="s">
        <v>98</v>
      </c>
      <c r="M245" s="164"/>
      <c r="N245" s="164"/>
      <c r="O245" s="82" t="s">
        <v>120</v>
      </c>
      <c r="P245" s="43">
        <f>S143</f>
        <v>3.0324074074074073E-3</v>
      </c>
      <c r="Q245" s="71"/>
      <c r="R245" s="52" t="str">
        <f>IF(Q245="","",ABS(P245-Q245))</f>
        <v/>
      </c>
      <c r="S245" s="78" t="s">
        <v>98</v>
      </c>
      <c r="T245" s="164"/>
      <c r="U245" s="168"/>
      <c r="V245" s="41" t="s">
        <v>124</v>
      </c>
      <c r="W245" s="43">
        <f>S145</f>
        <v>3.2523148148148147E-3</v>
      </c>
      <c r="X245" s="71"/>
      <c r="Y245" s="52" t="str">
        <f>IF(X245="","",ABS(W245-X245))</f>
        <v/>
      </c>
      <c r="Z245" s="78" t="s">
        <v>98</v>
      </c>
      <c r="AA245" s="164"/>
      <c r="AB245" s="169"/>
      <c r="AC245" s="37"/>
      <c r="AD245" s="41"/>
      <c r="AE245" s="41"/>
      <c r="AF245" s="41"/>
    </row>
    <row r="246" spans="1:32" ht="16" customHeight="1" x14ac:dyDescent="0.2">
      <c r="A246" s="37"/>
      <c r="B246" s="174"/>
      <c r="C246" s="175"/>
      <c r="D246" s="165" t="s">
        <v>111</v>
      </c>
      <c r="E246" s="166"/>
      <c r="F246" s="166"/>
      <c r="G246" s="167"/>
      <c r="H246" s="43" t="s">
        <v>104</v>
      </c>
      <c r="I246" s="43">
        <f>F245</f>
        <v>4.5076195987654322E-3</v>
      </c>
      <c r="J246" s="71"/>
      <c r="K246" s="52" t="str">
        <f t="shared" si="47"/>
        <v/>
      </c>
      <c r="L246" s="170" t="s">
        <v>112</v>
      </c>
      <c r="M246" s="171"/>
      <c r="N246" s="90"/>
      <c r="O246" s="165" t="s">
        <v>111</v>
      </c>
      <c r="P246" s="166"/>
      <c r="Q246" s="166"/>
      <c r="R246" s="167"/>
      <c r="S246" s="170" t="s">
        <v>112</v>
      </c>
      <c r="T246" s="171"/>
      <c r="U246" s="83"/>
      <c r="V246" s="166" t="s">
        <v>111</v>
      </c>
      <c r="W246" s="166"/>
      <c r="X246" s="166"/>
      <c r="Y246" s="167"/>
      <c r="Z246" s="170" t="s">
        <v>112</v>
      </c>
      <c r="AA246" s="171"/>
      <c r="AB246" s="80"/>
      <c r="AC246" s="37"/>
      <c r="AD246" s="41"/>
      <c r="AE246" s="41"/>
      <c r="AF246" s="41"/>
    </row>
    <row r="247" spans="1:32" ht="16" customHeight="1" x14ac:dyDescent="0.2">
      <c r="A247" s="37"/>
      <c r="B247" s="174"/>
      <c r="C247" s="175"/>
      <c r="D247" s="165"/>
      <c r="E247" s="166"/>
      <c r="F247" s="166"/>
      <c r="G247" s="167"/>
      <c r="H247" s="43"/>
      <c r="I247" s="43"/>
      <c r="J247" s="71"/>
      <c r="K247" s="52" t="str">
        <f t="shared" si="47"/>
        <v/>
      </c>
      <c r="L247" s="163" t="s">
        <v>88</v>
      </c>
      <c r="M247" s="164"/>
      <c r="N247" s="164"/>
      <c r="O247" s="82"/>
      <c r="P247" s="43"/>
      <c r="Q247" s="41"/>
      <c r="R247" s="52"/>
      <c r="S247" s="163" t="s">
        <v>88</v>
      </c>
      <c r="T247" s="164"/>
      <c r="U247" s="168"/>
      <c r="V247" s="30"/>
      <c r="W247" s="30"/>
      <c r="X247" s="30"/>
      <c r="Y247" s="30"/>
      <c r="Z247" s="163" t="s">
        <v>88</v>
      </c>
      <c r="AA247" s="164"/>
      <c r="AB247" s="169"/>
      <c r="AC247" s="37"/>
      <c r="AD247" s="41"/>
      <c r="AE247" s="41"/>
      <c r="AF247" s="41"/>
    </row>
    <row r="248" spans="1:32" ht="16" customHeight="1" thickBot="1" x14ac:dyDescent="0.25">
      <c r="A248" s="37"/>
      <c r="B248" s="174"/>
      <c r="C248" s="175"/>
      <c r="D248" s="84"/>
      <c r="E248" s="43"/>
      <c r="F248" s="43"/>
      <c r="G248" s="53"/>
      <c r="H248" s="43"/>
      <c r="I248" s="43"/>
      <c r="J248" s="71"/>
      <c r="K248" s="52" t="str">
        <f t="shared" si="47"/>
        <v/>
      </c>
      <c r="L248" s="163"/>
      <c r="M248" s="164"/>
      <c r="N248" s="164"/>
      <c r="O248" s="165"/>
      <c r="P248" s="166"/>
      <c r="Q248" s="166"/>
      <c r="R248" s="167"/>
      <c r="S248" s="163"/>
      <c r="T248" s="164"/>
      <c r="U248" s="168"/>
      <c r="V248" s="30"/>
      <c r="W248" s="30"/>
      <c r="X248" s="30"/>
      <c r="Y248" s="30"/>
      <c r="Z248" s="163"/>
      <c r="AA248" s="164"/>
      <c r="AB248" s="169"/>
      <c r="AC248" s="37"/>
      <c r="AD248" s="41"/>
      <c r="AE248" s="41"/>
      <c r="AF248" s="41"/>
    </row>
    <row r="249" spans="1:32" ht="16" customHeight="1" x14ac:dyDescent="0.2">
      <c r="A249" s="37"/>
      <c r="B249" s="172">
        <f>B241+1</f>
        <v>12</v>
      </c>
      <c r="C249" s="173"/>
      <c r="D249" s="178">
        <f>D147+(B249-1)*7</f>
        <v>42731</v>
      </c>
      <c r="E249" s="179"/>
      <c r="F249" s="179"/>
      <c r="G249" s="179"/>
      <c r="H249" s="179"/>
      <c r="I249" s="179"/>
      <c r="J249" s="179"/>
      <c r="K249" s="179"/>
      <c r="L249" s="179"/>
      <c r="M249" s="179"/>
      <c r="N249" s="179"/>
      <c r="O249" s="178">
        <f>O147+(B249-1)*7</f>
        <v>42734</v>
      </c>
      <c r="P249" s="179"/>
      <c r="Q249" s="179"/>
      <c r="R249" s="179"/>
      <c r="S249" s="179"/>
      <c r="T249" s="179"/>
      <c r="U249" s="180"/>
      <c r="V249" s="179">
        <f>V147+(B249-1)*7</f>
        <v>42736</v>
      </c>
      <c r="W249" s="179"/>
      <c r="X249" s="179"/>
      <c r="Y249" s="179"/>
      <c r="Z249" s="179"/>
      <c r="AA249" s="179"/>
      <c r="AB249" s="181"/>
      <c r="AC249" s="37"/>
      <c r="AD249" s="41"/>
      <c r="AE249" s="41"/>
      <c r="AF249" s="41"/>
    </row>
    <row r="250" spans="1:32" ht="16" customHeight="1" x14ac:dyDescent="0.2">
      <c r="A250" s="37"/>
      <c r="B250" s="174"/>
      <c r="C250" s="175"/>
      <c r="D250" s="182" t="s">
        <v>99</v>
      </c>
      <c r="E250" s="183"/>
      <c r="F250" s="183"/>
      <c r="G250" s="184"/>
      <c r="H250" s="185" t="s">
        <v>101</v>
      </c>
      <c r="I250" s="183"/>
      <c r="J250" s="183"/>
      <c r="K250" s="184"/>
      <c r="L250" s="183" t="s">
        <v>100</v>
      </c>
      <c r="M250" s="183"/>
      <c r="N250" s="183"/>
      <c r="O250" s="182" t="s">
        <v>99</v>
      </c>
      <c r="P250" s="183"/>
      <c r="Q250" s="183"/>
      <c r="R250" s="183"/>
      <c r="S250" s="185" t="s">
        <v>100</v>
      </c>
      <c r="T250" s="183"/>
      <c r="U250" s="186"/>
      <c r="V250" s="183" t="s">
        <v>99</v>
      </c>
      <c r="W250" s="183"/>
      <c r="X250" s="183"/>
      <c r="Y250" s="183"/>
      <c r="Z250" s="185" t="s">
        <v>100</v>
      </c>
      <c r="AA250" s="183"/>
      <c r="AB250" s="187"/>
      <c r="AC250" s="37"/>
      <c r="AD250" s="41"/>
      <c r="AE250" s="41"/>
      <c r="AF250" s="41"/>
    </row>
    <row r="251" spans="1:32" ht="16" customHeight="1" x14ac:dyDescent="0.2">
      <c r="A251" s="37"/>
      <c r="B251" s="174"/>
      <c r="C251" s="175"/>
      <c r="D251" s="188" t="s">
        <v>110</v>
      </c>
      <c r="E251" s="189"/>
      <c r="F251" s="189"/>
      <c r="G251" s="190"/>
      <c r="H251" s="43" t="s">
        <v>113</v>
      </c>
      <c r="I251" s="43" t="s">
        <v>114</v>
      </c>
      <c r="J251" s="71" t="s">
        <v>115</v>
      </c>
      <c r="K251" s="53" t="s">
        <v>116</v>
      </c>
      <c r="L251" s="74" t="s">
        <v>96</v>
      </c>
      <c r="M251" s="191"/>
      <c r="N251" s="191"/>
      <c r="O251" s="188" t="s">
        <v>110</v>
      </c>
      <c r="P251" s="189"/>
      <c r="Q251" s="189"/>
      <c r="R251" s="189"/>
      <c r="S251" s="77" t="s">
        <v>96</v>
      </c>
      <c r="T251" s="191"/>
      <c r="U251" s="192"/>
      <c r="V251" s="189" t="s">
        <v>110</v>
      </c>
      <c r="W251" s="189"/>
      <c r="X251" s="189"/>
      <c r="Y251" s="189"/>
      <c r="Z251" s="77" t="s">
        <v>96</v>
      </c>
      <c r="AA251" s="191"/>
      <c r="AB251" s="193"/>
      <c r="AC251" s="37"/>
      <c r="AD251" s="41"/>
      <c r="AE251" s="41"/>
      <c r="AF251" s="41"/>
    </row>
    <row r="252" spans="1:32" ht="16" customHeight="1" x14ac:dyDescent="0.2">
      <c r="A252" s="37"/>
      <c r="B252" s="174"/>
      <c r="C252" s="175"/>
      <c r="D252" s="82" t="s">
        <v>53</v>
      </c>
      <c r="E252" s="41" t="s">
        <v>54</v>
      </c>
      <c r="F252" s="41" t="s">
        <v>90</v>
      </c>
      <c r="G252" s="53" t="s">
        <v>55</v>
      </c>
      <c r="H252" s="43" t="s">
        <v>102</v>
      </c>
      <c r="I252" s="43">
        <f>F253</f>
        <v>1.0551697530864197E-3</v>
      </c>
      <c r="J252" s="71"/>
      <c r="K252" s="52" t="str">
        <f>IF(J252="","",ABS(I252-J252))</f>
        <v/>
      </c>
      <c r="L252" s="75" t="s">
        <v>97</v>
      </c>
      <c r="M252" s="164"/>
      <c r="N252" s="164"/>
      <c r="O252" s="82" t="s">
        <v>54</v>
      </c>
      <c r="P252" s="41" t="s">
        <v>65</v>
      </c>
      <c r="Q252" s="67" t="s">
        <v>117</v>
      </c>
      <c r="R252" s="41" t="s">
        <v>116</v>
      </c>
      <c r="S252" s="78" t="s">
        <v>97</v>
      </c>
      <c r="T252" s="164"/>
      <c r="U252" s="168"/>
      <c r="V252" s="41"/>
      <c r="W252" s="41"/>
      <c r="X252" s="41"/>
      <c r="Y252" s="41"/>
      <c r="Z252" s="78" t="s">
        <v>97</v>
      </c>
      <c r="AA252" s="164"/>
      <c r="AB252" s="169"/>
      <c r="AC252" s="37"/>
      <c r="AD252" s="41"/>
      <c r="AE252" s="41"/>
      <c r="AF252" s="41"/>
    </row>
    <row r="253" spans="1:32" ht="16" customHeight="1" x14ac:dyDescent="0.2">
      <c r="A253" s="37"/>
      <c r="B253" s="174"/>
      <c r="C253" s="175"/>
      <c r="D253" s="82" t="s">
        <v>63</v>
      </c>
      <c r="E253" s="41">
        <v>400</v>
      </c>
      <c r="F253" s="43">
        <f>F143</f>
        <v>1.0551697530864197E-3</v>
      </c>
      <c r="G253" s="53" t="s">
        <v>129</v>
      </c>
      <c r="H253" s="43" t="s">
        <v>103</v>
      </c>
      <c r="I253" s="43">
        <f>I252</f>
        <v>1.0551697530864197E-3</v>
      </c>
      <c r="J253" s="71"/>
      <c r="K253" s="52" t="str">
        <f t="shared" ref="K253:K257" si="48">IF(J253="","",ABS(I253-J253))</f>
        <v/>
      </c>
      <c r="L253" s="75" t="s">
        <v>98</v>
      </c>
      <c r="M253" s="164"/>
      <c r="N253" s="164"/>
      <c r="O253" s="82" t="s">
        <v>120</v>
      </c>
      <c r="P253" s="43">
        <f>S146</f>
        <v>3.7268518518518519E-3</v>
      </c>
      <c r="Q253" s="71"/>
      <c r="R253" s="52" t="str">
        <f>IF(Q253="","",ABS(P253-Q253))</f>
        <v/>
      </c>
      <c r="S253" s="78" t="s">
        <v>98</v>
      </c>
      <c r="T253" s="164"/>
      <c r="U253" s="168"/>
      <c r="V253" s="231" t="s">
        <v>140</v>
      </c>
      <c r="W253" s="231"/>
      <c r="X253" s="231"/>
      <c r="Y253" s="297"/>
      <c r="Z253" s="78" t="s">
        <v>98</v>
      </c>
      <c r="AA253" s="164"/>
      <c r="AB253" s="169"/>
      <c r="AC253" s="37"/>
      <c r="AD253" s="41"/>
      <c r="AE253" s="41"/>
      <c r="AF253" s="41"/>
    </row>
    <row r="254" spans="1:32" ht="16" customHeight="1" x14ac:dyDescent="0.2">
      <c r="A254" s="37"/>
      <c r="B254" s="174"/>
      <c r="C254" s="175"/>
      <c r="D254" s="165" t="s">
        <v>111</v>
      </c>
      <c r="E254" s="166"/>
      <c r="F254" s="166"/>
      <c r="G254" s="167"/>
      <c r="H254" s="43" t="s">
        <v>104</v>
      </c>
      <c r="I254" s="43">
        <f t="shared" ref="I254:I257" si="49">I253</f>
        <v>1.0551697530864197E-3</v>
      </c>
      <c r="J254" s="71"/>
      <c r="K254" s="52" t="str">
        <f t="shared" si="48"/>
        <v/>
      </c>
      <c r="L254" s="170" t="s">
        <v>112</v>
      </c>
      <c r="M254" s="171"/>
      <c r="N254" s="90"/>
      <c r="O254" s="165" t="s">
        <v>111</v>
      </c>
      <c r="P254" s="166"/>
      <c r="Q254" s="166"/>
      <c r="R254" s="167"/>
      <c r="S254" s="170" t="s">
        <v>112</v>
      </c>
      <c r="T254" s="171"/>
      <c r="U254" s="83"/>
      <c r="V254" s="166"/>
      <c r="W254" s="166"/>
      <c r="X254" s="166"/>
      <c r="Y254" s="167"/>
      <c r="Z254" s="170" t="s">
        <v>112</v>
      </c>
      <c r="AA254" s="171"/>
      <c r="AB254" s="80"/>
      <c r="AC254" s="37"/>
      <c r="AD254" s="41"/>
      <c r="AE254" s="41"/>
      <c r="AF254" s="41"/>
    </row>
    <row r="255" spans="1:32" ht="16" customHeight="1" x14ac:dyDescent="0.2">
      <c r="A255" s="37"/>
      <c r="B255" s="174"/>
      <c r="C255" s="175"/>
      <c r="D255" s="82"/>
      <c r="E255" s="41"/>
      <c r="F255" s="43"/>
      <c r="G255" s="53"/>
      <c r="H255" s="43" t="s">
        <v>105</v>
      </c>
      <c r="I255" s="43">
        <f t="shared" si="49"/>
        <v>1.0551697530864197E-3</v>
      </c>
      <c r="J255" s="71"/>
      <c r="K255" s="52" t="str">
        <f t="shared" si="48"/>
        <v/>
      </c>
      <c r="L255" s="163" t="s">
        <v>88</v>
      </c>
      <c r="M255" s="164"/>
      <c r="N255" s="164"/>
      <c r="O255" s="82"/>
      <c r="P255" s="43"/>
      <c r="Q255" s="41"/>
      <c r="R255" s="52"/>
      <c r="S255" s="163" t="s">
        <v>88</v>
      </c>
      <c r="T255" s="164"/>
      <c r="U255" s="168"/>
      <c r="V255" s="166" t="s">
        <v>111</v>
      </c>
      <c r="W255" s="166"/>
      <c r="X255" s="166"/>
      <c r="Y255" s="167"/>
      <c r="Z255" s="163" t="s">
        <v>88</v>
      </c>
      <c r="AA255" s="164"/>
      <c r="AB255" s="169"/>
      <c r="AC255" s="37"/>
      <c r="AD255" s="41"/>
      <c r="AE255" s="41"/>
      <c r="AF255" s="41"/>
    </row>
    <row r="256" spans="1:32" ht="16" customHeight="1" x14ac:dyDescent="0.2">
      <c r="A256" s="37"/>
      <c r="B256" s="174"/>
      <c r="C256" s="175"/>
      <c r="D256" s="82"/>
      <c r="E256" s="41"/>
      <c r="F256" s="43"/>
      <c r="G256" s="53"/>
      <c r="H256" s="43" t="s">
        <v>106</v>
      </c>
      <c r="I256" s="43">
        <f t="shared" si="49"/>
        <v>1.0551697530864197E-3</v>
      </c>
      <c r="J256" s="71"/>
      <c r="K256" s="52" t="str">
        <f t="shared" si="48"/>
        <v/>
      </c>
      <c r="L256" s="163"/>
      <c r="M256" s="164"/>
      <c r="N256" s="164"/>
      <c r="O256" s="165"/>
      <c r="P256" s="166"/>
      <c r="Q256" s="166"/>
      <c r="R256" s="167"/>
      <c r="S256" s="163"/>
      <c r="T256" s="164"/>
      <c r="U256" s="168"/>
      <c r="V256" s="30"/>
      <c r="W256" s="30"/>
      <c r="X256" s="30"/>
      <c r="Y256" s="30"/>
      <c r="Z256" s="163"/>
      <c r="AA256" s="164"/>
      <c r="AB256" s="169"/>
      <c r="AC256" s="37"/>
      <c r="AD256" s="41"/>
      <c r="AE256" s="41"/>
      <c r="AF256" s="41"/>
    </row>
    <row r="257" spans="1:32" ht="16" customHeight="1" thickBot="1" x14ac:dyDescent="0.25">
      <c r="A257" s="37"/>
      <c r="B257" s="176"/>
      <c r="C257" s="177"/>
      <c r="D257" s="88"/>
      <c r="E257" s="45"/>
      <c r="F257" s="46"/>
      <c r="G257" s="55"/>
      <c r="H257" s="46" t="s">
        <v>107</v>
      </c>
      <c r="I257" s="46">
        <f t="shared" si="49"/>
        <v>1.0551697530864197E-3</v>
      </c>
      <c r="J257" s="73"/>
      <c r="K257" s="56" t="str">
        <f t="shared" si="48"/>
        <v/>
      </c>
      <c r="L257" s="45"/>
      <c r="M257" s="45"/>
      <c r="N257" s="58"/>
      <c r="O257" s="88"/>
      <c r="P257" s="45"/>
      <c r="Q257" s="45"/>
      <c r="R257" s="45"/>
      <c r="S257" s="57"/>
      <c r="T257" s="45"/>
      <c r="U257" s="89"/>
      <c r="V257" s="58"/>
      <c r="W257" s="58"/>
      <c r="X257" s="58"/>
      <c r="Y257" s="58"/>
      <c r="Z257" s="57"/>
      <c r="AA257" s="45"/>
      <c r="AB257" s="59"/>
      <c r="AC257" s="37"/>
      <c r="AD257" s="41"/>
      <c r="AE257" s="41"/>
      <c r="AF257" s="41"/>
    </row>
    <row r="258" spans="1:32" ht="17" thickTop="1" thickBot="1"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41"/>
      <c r="AE258" s="41"/>
      <c r="AF258" s="41"/>
    </row>
    <row r="259" spans="1:32" ht="23.25" customHeight="1" thickTop="1" x14ac:dyDescent="0.2">
      <c r="A259" s="37"/>
      <c r="B259" s="242" t="s">
        <v>77</v>
      </c>
      <c r="C259" s="243"/>
      <c r="D259" s="243"/>
      <c r="E259" s="243"/>
      <c r="F259" s="243"/>
      <c r="G259" s="243"/>
      <c r="H259" s="243"/>
      <c r="I259" s="243"/>
      <c r="J259" s="243"/>
      <c r="K259" s="243"/>
      <c r="L259" s="243"/>
      <c r="M259" s="243"/>
      <c r="N259" s="243"/>
      <c r="O259" s="243"/>
      <c r="P259" s="243"/>
      <c r="Q259" s="243"/>
      <c r="R259" s="243"/>
      <c r="S259" s="243"/>
      <c r="T259" s="243"/>
      <c r="U259" s="243"/>
      <c r="V259" s="243"/>
      <c r="W259" s="243"/>
      <c r="X259" s="243"/>
      <c r="Y259" s="243"/>
      <c r="Z259" s="243"/>
      <c r="AA259" s="243"/>
      <c r="AB259" s="244"/>
      <c r="AC259" s="37"/>
      <c r="AD259" s="41"/>
      <c r="AE259" s="41"/>
      <c r="AF259" s="41"/>
    </row>
    <row r="260" spans="1:32" ht="18" customHeight="1" x14ac:dyDescent="0.2">
      <c r="A260" s="37"/>
      <c r="B260" s="33"/>
      <c r="C260" s="47" t="s">
        <v>67</v>
      </c>
      <c r="D260" s="41"/>
      <c r="E260" s="41"/>
      <c r="F260" s="41"/>
      <c r="G260" s="230" t="s">
        <v>7</v>
      </c>
      <c r="H260" s="231"/>
      <c r="I260" s="231"/>
      <c r="J260" s="231"/>
      <c r="K260" s="231"/>
      <c r="L260" s="231"/>
      <c r="M260" s="231"/>
      <c r="N260" s="232"/>
      <c r="O260" s="230" t="s">
        <v>75</v>
      </c>
      <c r="P260" s="231"/>
      <c r="Q260" s="231"/>
      <c r="R260" s="231"/>
      <c r="S260" s="231"/>
      <c r="T260" s="231"/>
      <c r="U260" s="232"/>
      <c r="V260" s="245" t="s">
        <v>51</v>
      </c>
      <c r="W260" s="245"/>
      <c r="X260" s="245"/>
      <c r="Y260" s="245"/>
      <c r="Z260" s="245"/>
      <c r="AA260" s="245"/>
      <c r="AB260" s="246"/>
      <c r="AC260" s="37"/>
      <c r="AD260" s="100"/>
      <c r="AE260" s="100"/>
      <c r="AF260" s="41"/>
    </row>
    <row r="261" spans="1:32" ht="18" customHeight="1" x14ac:dyDescent="0.2">
      <c r="A261" s="37"/>
      <c r="B261" s="32"/>
      <c r="C261" s="47" t="s">
        <v>68</v>
      </c>
      <c r="D261" s="41"/>
      <c r="E261" s="41"/>
      <c r="F261" s="41"/>
      <c r="G261" s="91" t="s">
        <v>72</v>
      </c>
      <c r="H261" s="47"/>
      <c r="I261" s="47"/>
      <c r="J261" s="47"/>
      <c r="K261" s="47"/>
      <c r="L261" s="47"/>
      <c r="M261" s="47"/>
      <c r="N261" s="92"/>
      <c r="O261" s="91" t="s">
        <v>164</v>
      </c>
      <c r="P261" s="47"/>
      <c r="Q261" s="47"/>
      <c r="R261" s="47"/>
      <c r="S261" s="47"/>
      <c r="T261" s="47"/>
      <c r="U261" s="92"/>
      <c r="V261" s="247" t="s">
        <v>166</v>
      </c>
      <c r="W261" s="248"/>
      <c r="X261" s="248"/>
      <c r="Y261" s="248"/>
      <c r="Z261" s="248"/>
      <c r="AA261" s="248"/>
      <c r="AB261" s="249"/>
      <c r="AC261" s="37"/>
      <c r="AD261" s="41"/>
      <c r="AE261" s="41"/>
      <c r="AF261" s="41"/>
    </row>
    <row r="262" spans="1:32" ht="18" customHeight="1" x14ac:dyDescent="0.2">
      <c r="A262" s="37"/>
      <c r="B262" s="32"/>
      <c r="C262" s="47" t="s">
        <v>69</v>
      </c>
      <c r="D262" s="41"/>
      <c r="E262" s="41"/>
      <c r="F262" s="41"/>
      <c r="G262" s="91" t="s">
        <v>73</v>
      </c>
      <c r="H262" s="47"/>
      <c r="I262" s="47"/>
      <c r="J262" s="47"/>
      <c r="K262" s="47"/>
      <c r="L262" s="47"/>
      <c r="M262" s="47"/>
      <c r="N262" s="92"/>
      <c r="O262" s="91" t="s">
        <v>165</v>
      </c>
      <c r="P262" s="47"/>
      <c r="Q262" s="47"/>
      <c r="R262" s="47"/>
      <c r="S262" s="47"/>
      <c r="T262" s="47"/>
      <c r="U262" s="92"/>
      <c r="V262" s="247"/>
      <c r="W262" s="248"/>
      <c r="X262" s="248"/>
      <c r="Y262" s="248"/>
      <c r="Z262" s="248"/>
      <c r="AA262" s="248"/>
      <c r="AB262" s="249"/>
      <c r="AC262" s="37"/>
      <c r="AD262" s="41"/>
      <c r="AE262" s="41"/>
      <c r="AF262" s="41"/>
    </row>
    <row r="263" spans="1:32" ht="18" customHeight="1" x14ac:dyDescent="0.2">
      <c r="A263" s="37"/>
      <c r="B263" s="32"/>
      <c r="C263" s="47" t="s">
        <v>134</v>
      </c>
      <c r="D263" s="41"/>
      <c r="E263" s="41"/>
      <c r="F263" s="41"/>
      <c r="G263" s="91" t="s">
        <v>131</v>
      </c>
      <c r="H263" s="47"/>
      <c r="I263" s="47"/>
      <c r="J263" s="47"/>
      <c r="K263" s="47"/>
      <c r="L263" s="47"/>
      <c r="M263" s="47"/>
      <c r="N263" s="92"/>
      <c r="O263" s="247" t="s">
        <v>163</v>
      </c>
      <c r="P263" s="248"/>
      <c r="Q263" s="248"/>
      <c r="R263" s="248"/>
      <c r="S263" s="248"/>
      <c r="T263" s="248"/>
      <c r="U263" s="250"/>
      <c r="V263" s="47" t="s">
        <v>82</v>
      </c>
      <c r="W263" s="30"/>
      <c r="X263" s="41"/>
      <c r="Y263" s="41"/>
      <c r="Z263" s="41"/>
      <c r="AA263" s="41"/>
      <c r="AB263" s="44"/>
      <c r="AC263" s="37"/>
      <c r="AD263" s="41"/>
      <c r="AE263" s="41"/>
      <c r="AF263" s="41"/>
    </row>
    <row r="264" spans="1:32" ht="18" customHeight="1" x14ac:dyDescent="0.2">
      <c r="A264" s="37"/>
      <c r="B264" s="32"/>
      <c r="C264" s="47" t="s">
        <v>135</v>
      </c>
      <c r="D264" s="41"/>
      <c r="E264" s="41"/>
      <c r="F264" s="41"/>
      <c r="G264" s="91" t="s">
        <v>132</v>
      </c>
      <c r="H264" s="47"/>
      <c r="I264" s="47"/>
      <c r="J264" s="47"/>
      <c r="K264" s="47"/>
      <c r="L264" s="41"/>
      <c r="M264" s="41"/>
      <c r="N264" s="86"/>
      <c r="O264" s="247"/>
      <c r="P264" s="248"/>
      <c r="Q264" s="248"/>
      <c r="R264" s="248"/>
      <c r="S264" s="248"/>
      <c r="T264" s="248"/>
      <c r="U264" s="250"/>
      <c r="V264" s="41"/>
      <c r="W264" s="41"/>
      <c r="X264" s="41"/>
      <c r="Y264" s="41"/>
      <c r="Z264" s="41"/>
      <c r="AA264" s="41"/>
      <c r="AB264" s="44"/>
      <c r="AC264" s="37"/>
      <c r="AD264" s="41"/>
      <c r="AE264" s="41"/>
      <c r="AF264" s="41"/>
    </row>
    <row r="265" spans="1:32" ht="15.75" customHeight="1" x14ac:dyDescent="0.2">
      <c r="A265" s="37"/>
      <c r="B265" s="32"/>
      <c r="C265" s="47" t="s">
        <v>136</v>
      </c>
      <c r="D265" s="41"/>
      <c r="E265" s="41"/>
      <c r="F265" s="41"/>
      <c r="G265" s="82"/>
      <c r="H265" s="41"/>
      <c r="I265" s="41"/>
      <c r="J265" s="41"/>
      <c r="K265" s="41"/>
      <c r="L265" s="41"/>
      <c r="M265" s="41"/>
      <c r="N265" s="86"/>
      <c r="O265" s="82"/>
      <c r="P265" s="41"/>
      <c r="Q265" s="41"/>
      <c r="R265" s="41"/>
      <c r="S265" s="41"/>
      <c r="T265" s="41"/>
      <c r="U265" s="86"/>
      <c r="V265" s="41"/>
      <c r="W265" s="41"/>
      <c r="X265" s="41"/>
      <c r="Y265" s="41"/>
      <c r="Z265" s="41"/>
      <c r="AA265" s="41"/>
      <c r="AB265" s="44"/>
      <c r="AC265" s="37"/>
      <c r="AD265" s="41"/>
      <c r="AE265" s="41"/>
      <c r="AF265" s="41"/>
    </row>
    <row r="266" spans="1:32" ht="15.75" customHeight="1" x14ac:dyDescent="0.2">
      <c r="A266" s="37"/>
      <c r="B266" s="32"/>
      <c r="C266" s="47" t="s">
        <v>70</v>
      </c>
      <c r="D266" s="41"/>
      <c r="E266" s="41"/>
      <c r="F266" s="41"/>
      <c r="G266" s="91" t="s">
        <v>74</v>
      </c>
      <c r="H266" s="47"/>
      <c r="I266" s="47"/>
      <c r="J266" s="47"/>
      <c r="K266" s="47"/>
      <c r="L266" s="47"/>
      <c r="M266" s="47"/>
      <c r="N266" s="92"/>
      <c r="O266" s="91"/>
      <c r="P266" s="41"/>
      <c r="Q266" s="41"/>
      <c r="R266" s="41"/>
      <c r="S266" s="30"/>
      <c r="T266" s="30"/>
      <c r="U266" s="86"/>
      <c r="V266" s="41"/>
      <c r="W266" s="41"/>
      <c r="X266" s="41"/>
      <c r="Y266" s="41"/>
      <c r="Z266" s="41"/>
      <c r="AA266" s="41"/>
      <c r="AB266" s="44"/>
      <c r="AC266" s="37"/>
      <c r="AD266" s="41"/>
      <c r="AE266" s="41"/>
      <c r="AF266" s="41"/>
    </row>
    <row r="267" spans="1:32" ht="15.75" customHeight="1" thickBot="1" x14ac:dyDescent="0.25">
      <c r="A267" s="37"/>
      <c r="B267" s="32"/>
      <c r="C267" s="47" t="s">
        <v>71</v>
      </c>
      <c r="D267" s="41"/>
      <c r="E267" s="41"/>
      <c r="F267" s="41"/>
      <c r="G267" s="93" t="s">
        <v>133</v>
      </c>
      <c r="H267" s="48"/>
      <c r="I267" s="48"/>
      <c r="J267" s="48"/>
      <c r="K267" s="48"/>
      <c r="L267" s="48"/>
      <c r="M267" s="48"/>
      <c r="N267" s="98"/>
      <c r="O267" s="93"/>
      <c r="P267" s="41"/>
      <c r="Q267" s="41"/>
      <c r="R267" s="41"/>
      <c r="S267" s="41"/>
      <c r="T267" s="41"/>
      <c r="U267" s="86"/>
      <c r="V267" s="41"/>
      <c r="W267" s="41"/>
      <c r="X267" s="41"/>
      <c r="Y267" s="41"/>
      <c r="Z267" s="41"/>
      <c r="AA267" s="41"/>
      <c r="AB267" s="44"/>
      <c r="AC267" s="37"/>
      <c r="AD267" s="41"/>
      <c r="AE267" s="41"/>
      <c r="AF267" s="41"/>
    </row>
    <row r="268" spans="1:32" ht="19.5" customHeight="1" thickBot="1" x14ac:dyDescent="0.25">
      <c r="A268" s="37"/>
      <c r="B268" s="251" t="s">
        <v>52</v>
      </c>
      <c r="C268" s="252"/>
      <c r="D268" s="253" t="s">
        <v>7</v>
      </c>
      <c r="E268" s="253"/>
      <c r="F268" s="253"/>
      <c r="G268" s="253"/>
      <c r="H268" s="253"/>
      <c r="I268" s="253"/>
      <c r="J268" s="253"/>
      <c r="K268" s="253"/>
      <c r="L268" s="253"/>
      <c r="M268" s="253"/>
      <c r="N268" s="252"/>
      <c r="O268" s="254" t="s">
        <v>50</v>
      </c>
      <c r="P268" s="253"/>
      <c r="Q268" s="253"/>
      <c r="R268" s="253"/>
      <c r="S268" s="253"/>
      <c r="T268" s="253"/>
      <c r="U268" s="255"/>
      <c r="V268" s="256" t="s">
        <v>51</v>
      </c>
      <c r="W268" s="253"/>
      <c r="X268" s="253"/>
      <c r="Y268" s="253"/>
      <c r="Z268" s="252"/>
      <c r="AA268" s="252"/>
      <c r="AB268" s="257"/>
      <c r="AC268" s="37"/>
      <c r="AD268" s="41"/>
      <c r="AE268" s="41"/>
      <c r="AF268" s="41"/>
    </row>
    <row r="269" spans="1:32" ht="16" customHeight="1" x14ac:dyDescent="0.2">
      <c r="A269" s="37"/>
      <c r="B269" s="235" t="s">
        <v>137</v>
      </c>
      <c r="C269" s="236"/>
      <c r="D269" s="200" t="str">
        <f>B$2</f>
        <v>400 M</v>
      </c>
      <c r="E269" s="201"/>
      <c r="F269" s="158">
        <f>$B$3</f>
        <v>1.0551697530864197E-3</v>
      </c>
      <c r="G269" s="158">
        <f>$B$4</f>
        <v>2.6379243827160492E-3</v>
      </c>
      <c r="H269" s="155"/>
      <c r="I269" s="155"/>
      <c r="J269" s="201" t="str">
        <f>J$2</f>
        <v>1200 M</v>
      </c>
      <c r="K269" s="201"/>
      <c r="L269" s="156">
        <f>$J$3</f>
        <v>3.3135609567901229E-3</v>
      </c>
      <c r="M269" s="158">
        <f>$J$4</f>
        <v>2.7613007973251026E-3</v>
      </c>
      <c r="N269" s="161"/>
      <c r="O269" s="94"/>
      <c r="P269" s="258" t="s">
        <v>91</v>
      </c>
      <c r="Q269" s="258"/>
      <c r="R269" s="258"/>
      <c r="S269" s="259">
        <f>$P$3</f>
        <v>3.0324074074074073E-3</v>
      </c>
      <c r="T269" s="259"/>
      <c r="U269" s="95"/>
      <c r="V269" s="69"/>
      <c r="W269" s="260" t="s">
        <v>94</v>
      </c>
      <c r="X269" s="260"/>
      <c r="Y269" s="260"/>
      <c r="Z269" s="261">
        <f>$X$3</f>
        <v>3.3584104938271606E-3</v>
      </c>
      <c r="AA269" s="261"/>
      <c r="AB269" s="68"/>
      <c r="AC269" s="37"/>
      <c r="AD269" s="41"/>
      <c r="AE269" s="41"/>
      <c r="AF269" s="41"/>
    </row>
    <row r="270" spans="1:32" ht="16" customHeight="1" x14ac:dyDescent="0.2">
      <c r="A270" s="37"/>
      <c r="B270" s="237"/>
      <c r="C270" s="238"/>
      <c r="D270" s="202" t="str">
        <f>D$2</f>
        <v>600 M</v>
      </c>
      <c r="E270" s="203"/>
      <c r="F270" s="158">
        <f>$D$3</f>
        <v>1.6116898148148149E-3</v>
      </c>
      <c r="G270" s="158">
        <f>$D$4</f>
        <v>2.6861496913580252E-3</v>
      </c>
      <c r="H270" s="157"/>
      <c r="I270" s="157"/>
      <c r="J270" s="203" t="str">
        <f>L$2</f>
        <v>1600 M</v>
      </c>
      <c r="K270" s="203"/>
      <c r="L270" s="158">
        <f>$L$3</f>
        <v>4.5076195987654322E-3</v>
      </c>
      <c r="M270" s="158">
        <f>$L$4</f>
        <v>2.8172622492283949E-3</v>
      </c>
      <c r="N270" s="162"/>
      <c r="O270" s="94"/>
      <c r="P270" s="258" t="s">
        <v>92</v>
      </c>
      <c r="Q270" s="258"/>
      <c r="R270" s="258"/>
      <c r="S270" s="261">
        <f>$R$3</f>
        <v>3.1481481481481482E-3</v>
      </c>
      <c r="T270" s="261"/>
      <c r="U270" s="95"/>
      <c r="V270" s="69"/>
      <c r="W270" s="258" t="s">
        <v>95</v>
      </c>
      <c r="X270" s="258"/>
      <c r="Y270" s="258"/>
      <c r="Z270" s="261">
        <f>$Z$3</f>
        <v>3.2040895061728391E-3</v>
      </c>
      <c r="AA270" s="261"/>
      <c r="AB270" s="68"/>
      <c r="AC270" s="37"/>
      <c r="AD270" s="41"/>
      <c r="AE270" s="41"/>
      <c r="AF270" s="41"/>
    </row>
    <row r="271" spans="1:32" ht="16" customHeight="1" x14ac:dyDescent="0.2">
      <c r="A271" s="37"/>
      <c r="B271" s="237"/>
      <c r="C271" s="238"/>
      <c r="D271" s="202" t="str">
        <f>F$2</f>
        <v>800 M</v>
      </c>
      <c r="E271" s="203"/>
      <c r="F271" s="158">
        <f>$F$3</f>
        <v>2.1566358024691359E-3</v>
      </c>
      <c r="G271" s="158">
        <f>$F$4</f>
        <v>2.6957947530864201E-3</v>
      </c>
      <c r="H271" s="157"/>
      <c r="I271" s="157"/>
      <c r="J271" s="203" t="str">
        <f>N$2</f>
        <v>2000 M</v>
      </c>
      <c r="K271" s="203"/>
      <c r="L271" s="158">
        <f>$N$3</f>
        <v>5.6925154320987652E-3</v>
      </c>
      <c r="M271" s="158">
        <f>$N$4</f>
        <v>2.8462577160493826E-3</v>
      </c>
      <c r="N271" s="162"/>
      <c r="O271" s="94"/>
      <c r="P271" s="258" t="s">
        <v>93</v>
      </c>
      <c r="Q271" s="258"/>
      <c r="R271" s="258"/>
      <c r="S271" s="261">
        <f>$T$3</f>
        <v>3.2523148148148147E-3</v>
      </c>
      <c r="T271" s="261"/>
      <c r="U271" s="95"/>
      <c r="V271" s="69"/>
      <c r="W271" s="69"/>
      <c r="X271" s="69"/>
      <c r="Y271" s="69"/>
      <c r="Z271" s="69"/>
      <c r="AA271" s="69"/>
      <c r="AB271" s="68"/>
      <c r="AC271" s="37"/>
      <c r="AD271" s="41"/>
      <c r="AE271" s="41"/>
      <c r="AF271" s="41"/>
    </row>
    <row r="272" spans="1:32" ht="16" customHeight="1" thickBot="1" x14ac:dyDescent="0.25">
      <c r="A272" s="37"/>
      <c r="B272" s="239"/>
      <c r="C272" s="240"/>
      <c r="D272" s="204" t="str">
        <f>H$2</f>
        <v xml:space="preserve">1000 M </v>
      </c>
      <c r="E272" s="205"/>
      <c r="F272" s="160">
        <f>$H$3</f>
        <v>2.7247299382716049E-3</v>
      </c>
      <c r="G272" s="160">
        <f>$H$4</f>
        <v>2.7247299382716049E-3</v>
      </c>
      <c r="H272" s="159"/>
      <c r="I272" s="159"/>
      <c r="J272" s="70"/>
      <c r="K272" s="70"/>
      <c r="L272" s="70"/>
      <c r="M272" s="70"/>
      <c r="N272" s="70"/>
      <c r="O272" s="96"/>
      <c r="P272" s="258" t="s">
        <v>179</v>
      </c>
      <c r="Q272" s="258"/>
      <c r="R272" s="258"/>
      <c r="S272" s="261">
        <f>$V$3</f>
        <v>3.7268518518518519E-3</v>
      </c>
      <c r="T272" s="261"/>
      <c r="U272" s="81"/>
      <c r="V272" s="69"/>
      <c r="W272" s="69"/>
      <c r="X272" s="69"/>
      <c r="Y272" s="69"/>
      <c r="Z272" s="106">
        <f>VLOOKUP($AK$12,$AI$3:$AL$9,4,FALSE)</f>
        <v>42654</v>
      </c>
      <c r="AA272" s="106">
        <f>VLOOKUP($AK$13,$AI$3:$AL$9,4,FALSE)</f>
        <v>42657</v>
      </c>
      <c r="AB272" s="107">
        <f>VLOOKUP($AK$14,$AI$3:$AL$9,4,FALSE)</f>
        <v>42659</v>
      </c>
      <c r="AC272" s="37"/>
      <c r="AD272" s="41"/>
      <c r="AE272" s="41"/>
      <c r="AF272" s="41"/>
    </row>
    <row r="273" spans="1:32" ht="16" customHeight="1" x14ac:dyDescent="0.2">
      <c r="A273" s="37"/>
      <c r="B273" s="172">
        <v>1</v>
      </c>
      <c r="C273" s="173"/>
      <c r="D273" s="178">
        <f>Z272</f>
        <v>42654</v>
      </c>
      <c r="E273" s="179"/>
      <c r="F273" s="179"/>
      <c r="G273" s="179"/>
      <c r="H273" s="179"/>
      <c r="I273" s="179"/>
      <c r="J273" s="179"/>
      <c r="K273" s="179"/>
      <c r="L273" s="179"/>
      <c r="M273" s="179"/>
      <c r="N273" s="179"/>
      <c r="O273" s="178">
        <f>AA272</f>
        <v>42657</v>
      </c>
      <c r="P273" s="179"/>
      <c r="Q273" s="179"/>
      <c r="R273" s="179"/>
      <c r="S273" s="179"/>
      <c r="T273" s="179"/>
      <c r="U273" s="180"/>
      <c r="V273" s="179">
        <f>AB272</f>
        <v>42659</v>
      </c>
      <c r="W273" s="179"/>
      <c r="X273" s="179"/>
      <c r="Y273" s="179"/>
      <c r="Z273" s="179"/>
      <c r="AA273" s="179"/>
      <c r="AB273" s="181"/>
      <c r="AC273" s="37"/>
      <c r="AD273" s="41"/>
      <c r="AE273" s="41"/>
      <c r="AF273" s="41"/>
    </row>
    <row r="274" spans="1:32" ht="16" customHeight="1" x14ac:dyDescent="0.2">
      <c r="A274" s="37"/>
      <c r="B274" s="174"/>
      <c r="C274" s="175"/>
      <c r="D274" s="182" t="s">
        <v>99</v>
      </c>
      <c r="E274" s="183"/>
      <c r="F274" s="183"/>
      <c r="G274" s="184"/>
      <c r="H274" s="185" t="s">
        <v>101</v>
      </c>
      <c r="I274" s="183"/>
      <c r="J274" s="183"/>
      <c r="K274" s="184"/>
      <c r="L274" s="183" t="s">
        <v>100</v>
      </c>
      <c r="M274" s="183"/>
      <c r="N274" s="183"/>
      <c r="O274" s="182" t="s">
        <v>99</v>
      </c>
      <c r="P274" s="183"/>
      <c r="Q274" s="183"/>
      <c r="R274" s="183"/>
      <c r="S274" s="185" t="s">
        <v>100</v>
      </c>
      <c r="T274" s="183"/>
      <c r="U274" s="186"/>
      <c r="V274" s="183" t="s">
        <v>99</v>
      </c>
      <c r="W274" s="183"/>
      <c r="X274" s="183"/>
      <c r="Y274" s="183"/>
      <c r="Z274" s="185" t="s">
        <v>100</v>
      </c>
      <c r="AA274" s="183"/>
      <c r="AB274" s="187"/>
      <c r="AC274" s="104"/>
      <c r="AD274" s="30"/>
      <c r="AE274" s="41"/>
      <c r="AF274" s="41"/>
    </row>
    <row r="275" spans="1:32" ht="16" customHeight="1" x14ac:dyDescent="0.2">
      <c r="A275" s="37"/>
      <c r="B275" s="174"/>
      <c r="C275" s="175"/>
      <c r="D275" s="188" t="s">
        <v>110</v>
      </c>
      <c r="E275" s="189"/>
      <c r="F275" s="189"/>
      <c r="G275" s="190"/>
      <c r="H275" s="43" t="s">
        <v>113</v>
      </c>
      <c r="I275" s="43" t="s">
        <v>114</v>
      </c>
      <c r="J275" s="71" t="s">
        <v>115</v>
      </c>
      <c r="K275" s="53" t="s">
        <v>116</v>
      </c>
      <c r="L275" s="74" t="s">
        <v>96</v>
      </c>
      <c r="M275" s="191"/>
      <c r="N275" s="191"/>
      <c r="O275" s="188" t="s">
        <v>110</v>
      </c>
      <c r="P275" s="189"/>
      <c r="Q275" s="189"/>
      <c r="R275" s="189"/>
      <c r="S275" s="77" t="s">
        <v>96</v>
      </c>
      <c r="T275" s="191"/>
      <c r="U275" s="192"/>
      <c r="V275" s="189" t="s">
        <v>110</v>
      </c>
      <c r="W275" s="189"/>
      <c r="X275" s="189"/>
      <c r="Y275" s="189"/>
      <c r="Z275" s="77" t="s">
        <v>96</v>
      </c>
      <c r="AA275" s="191"/>
      <c r="AB275" s="193"/>
      <c r="AC275" s="37"/>
      <c r="AD275" s="41"/>
      <c r="AE275" s="41"/>
      <c r="AF275" s="41"/>
    </row>
    <row r="276" spans="1:32" ht="16" customHeight="1" x14ac:dyDescent="0.2">
      <c r="A276" s="37"/>
      <c r="B276" s="174"/>
      <c r="C276" s="175"/>
      <c r="D276" s="82" t="s">
        <v>53</v>
      </c>
      <c r="E276" s="41" t="s">
        <v>54</v>
      </c>
      <c r="F276" s="41" t="s">
        <v>90</v>
      </c>
      <c r="G276" s="53" t="s">
        <v>55</v>
      </c>
      <c r="H276" s="43" t="s">
        <v>102</v>
      </c>
      <c r="I276" s="43">
        <f>F277</f>
        <v>1.0551697530864197E-3</v>
      </c>
      <c r="J276" s="71"/>
      <c r="K276" s="52" t="str">
        <f>IF(J276="","",ABS(I276-J276))</f>
        <v/>
      </c>
      <c r="L276" s="75" t="s">
        <v>97</v>
      </c>
      <c r="M276" s="164"/>
      <c r="N276" s="164"/>
      <c r="O276" s="82" t="s">
        <v>54</v>
      </c>
      <c r="P276" s="41" t="s">
        <v>65</v>
      </c>
      <c r="Q276" s="67" t="s">
        <v>117</v>
      </c>
      <c r="R276" s="41" t="s">
        <v>116</v>
      </c>
      <c r="S276" s="78" t="s">
        <v>97</v>
      </c>
      <c r="T276" s="164"/>
      <c r="U276" s="168"/>
      <c r="V276" s="41" t="s">
        <v>54</v>
      </c>
      <c r="W276" s="41" t="s">
        <v>65</v>
      </c>
      <c r="X276" s="67" t="s">
        <v>117</v>
      </c>
      <c r="Y276" s="41" t="s">
        <v>116</v>
      </c>
      <c r="Z276" s="78" t="s">
        <v>97</v>
      </c>
      <c r="AA276" s="164"/>
      <c r="AB276" s="169"/>
      <c r="AC276" s="37"/>
      <c r="AD276" s="41"/>
      <c r="AE276" s="41"/>
      <c r="AF276" s="41"/>
    </row>
    <row r="277" spans="1:32" ht="16" customHeight="1" x14ac:dyDescent="0.2">
      <c r="A277" s="37"/>
      <c r="B277" s="174"/>
      <c r="C277" s="175"/>
      <c r="D277" s="82" t="s">
        <v>78</v>
      </c>
      <c r="E277" s="41">
        <v>400</v>
      </c>
      <c r="F277" s="43">
        <f>F269</f>
        <v>1.0551697530864197E-3</v>
      </c>
      <c r="G277" s="53" t="s">
        <v>127</v>
      </c>
      <c r="H277" s="43" t="s">
        <v>103</v>
      </c>
      <c r="I277" s="43">
        <f>I276</f>
        <v>1.0551697530864197E-3</v>
      </c>
      <c r="J277" s="71"/>
      <c r="K277" s="52" t="str">
        <f t="shared" ref="K277:K287" si="50">IF(J277="","",ABS(I277-J277))</f>
        <v/>
      </c>
      <c r="L277" s="75" t="s">
        <v>98</v>
      </c>
      <c r="M277" s="164"/>
      <c r="N277" s="164"/>
      <c r="O277" s="82" t="s">
        <v>118</v>
      </c>
      <c r="P277" s="43">
        <f>S272</f>
        <v>3.7268518518518519E-3</v>
      </c>
      <c r="Q277" s="71"/>
      <c r="R277" s="76" t="str">
        <f>IF(Q277="","",ABS(P277-Q277))</f>
        <v/>
      </c>
      <c r="S277" s="78" t="s">
        <v>98</v>
      </c>
      <c r="T277" s="164"/>
      <c r="U277" s="168"/>
      <c r="V277" s="41" t="s">
        <v>143</v>
      </c>
      <c r="W277" s="43">
        <f>Z270+13/86400</f>
        <v>3.354552469135802E-3</v>
      </c>
      <c r="X277" s="71"/>
      <c r="Y277" s="52" t="str">
        <f>IF(X277="","",ABS(W277-X277))</f>
        <v/>
      </c>
      <c r="Z277" s="78" t="s">
        <v>98</v>
      </c>
      <c r="AA277" s="164"/>
      <c r="AB277" s="169"/>
      <c r="AC277" s="37"/>
      <c r="AD277" s="41"/>
      <c r="AE277" s="41"/>
      <c r="AF277" s="41"/>
    </row>
    <row r="278" spans="1:32" ht="16" customHeight="1" x14ac:dyDescent="0.2">
      <c r="A278" s="37"/>
      <c r="B278" s="174"/>
      <c r="C278" s="175"/>
      <c r="D278" s="165" t="s">
        <v>111</v>
      </c>
      <c r="E278" s="166"/>
      <c r="F278" s="166"/>
      <c r="G278" s="167"/>
      <c r="H278" s="43" t="s">
        <v>104</v>
      </c>
      <c r="I278" s="43">
        <f t="shared" ref="I278:I287" si="51">I277</f>
        <v>1.0551697530864197E-3</v>
      </c>
      <c r="J278" s="71"/>
      <c r="K278" s="52" t="str">
        <f t="shared" si="50"/>
        <v/>
      </c>
      <c r="L278" s="170" t="s">
        <v>112</v>
      </c>
      <c r="M278" s="171"/>
      <c r="N278" s="90"/>
      <c r="O278" s="82" t="s">
        <v>120</v>
      </c>
      <c r="P278" s="43">
        <f>S269</f>
        <v>3.0324074074074073E-3</v>
      </c>
      <c r="Q278" s="71"/>
      <c r="R278" s="76" t="str">
        <f t="shared" ref="R278:R279" si="52">IF(Q278="","",ABS(P278-Q278))</f>
        <v/>
      </c>
      <c r="S278" s="170" t="s">
        <v>112</v>
      </c>
      <c r="T278" s="171"/>
      <c r="U278" s="83"/>
      <c r="V278" s="166" t="s">
        <v>111</v>
      </c>
      <c r="W278" s="166"/>
      <c r="X278" s="166"/>
      <c r="Y278" s="167"/>
      <c r="Z278" s="170" t="s">
        <v>112</v>
      </c>
      <c r="AA278" s="171"/>
      <c r="AB278" s="80"/>
      <c r="AC278" s="37"/>
      <c r="AD278" s="41"/>
      <c r="AE278" s="41"/>
      <c r="AF278" s="41"/>
    </row>
    <row r="279" spans="1:32" ht="16" customHeight="1" x14ac:dyDescent="0.2">
      <c r="A279" s="37"/>
      <c r="B279" s="174"/>
      <c r="C279" s="175"/>
      <c r="D279" s="84"/>
      <c r="E279" s="43"/>
      <c r="F279" s="43"/>
      <c r="G279" s="53"/>
      <c r="H279" s="43" t="s">
        <v>105</v>
      </c>
      <c r="I279" s="43">
        <f t="shared" si="51"/>
        <v>1.0551697530864197E-3</v>
      </c>
      <c r="J279" s="71"/>
      <c r="K279" s="52" t="str">
        <f t="shared" si="50"/>
        <v/>
      </c>
      <c r="L279" s="163" t="s">
        <v>88</v>
      </c>
      <c r="M279" s="164"/>
      <c r="N279" s="164"/>
      <c r="O279" s="82" t="s">
        <v>122</v>
      </c>
      <c r="P279" s="43">
        <f>S272</f>
        <v>3.7268518518518519E-3</v>
      </c>
      <c r="Q279" s="71"/>
      <c r="R279" s="76" t="str">
        <f t="shared" si="52"/>
        <v/>
      </c>
      <c r="S279" s="163" t="s">
        <v>88</v>
      </c>
      <c r="T279" s="164"/>
      <c r="U279" s="168"/>
      <c r="V279" s="30"/>
      <c r="W279" s="30"/>
      <c r="X279" s="30"/>
      <c r="Y279" s="30"/>
      <c r="Z279" s="163" t="s">
        <v>88</v>
      </c>
      <c r="AA279" s="164"/>
      <c r="AB279" s="169"/>
      <c r="AC279" s="37"/>
      <c r="AD279" s="41"/>
      <c r="AE279" s="41"/>
      <c r="AF279" s="41"/>
    </row>
    <row r="280" spans="1:32" ht="16" customHeight="1" x14ac:dyDescent="0.2">
      <c r="A280" s="37"/>
      <c r="B280" s="174"/>
      <c r="C280" s="175"/>
      <c r="D280" s="84"/>
      <c r="E280" s="43"/>
      <c r="F280" s="43"/>
      <c r="G280" s="53"/>
      <c r="H280" s="43" t="s">
        <v>106</v>
      </c>
      <c r="I280" s="43">
        <f t="shared" si="51"/>
        <v>1.0551697530864197E-3</v>
      </c>
      <c r="J280" s="71"/>
      <c r="K280" s="52" t="str">
        <f t="shared" si="50"/>
        <v/>
      </c>
      <c r="L280" s="163"/>
      <c r="M280" s="164"/>
      <c r="N280" s="164"/>
      <c r="O280" s="165" t="s">
        <v>111</v>
      </c>
      <c r="P280" s="166"/>
      <c r="Q280" s="166"/>
      <c r="R280" s="166"/>
      <c r="S280" s="163"/>
      <c r="T280" s="164"/>
      <c r="U280" s="168"/>
      <c r="V280" s="30"/>
      <c r="W280" s="30"/>
      <c r="X280" s="30"/>
      <c r="Y280" s="30"/>
      <c r="Z280" s="163"/>
      <c r="AA280" s="164"/>
      <c r="AB280" s="169"/>
      <c r="AC280" s="37"/>
      <c r="AD280" s="41"/>
      <c r="AE280" s="41"/>
      <c r="AF280" s="41"/>
    </row>
    <row r="281" spans="1:32" ht="16" customHeight="1" x14ac:dyDescent="0.2">
      <c r="A281" s="37"/>
      <c r="B281" s="174"/>
      <c r="C281" s="175"/>
      <c r="D281" s="84"/>
      <c r="E281" s="43"/>
      <c r="F281" s="43"/>
      <c r="G281" s="53"/>
      <c r="H281" s="43" t="s">
        <v>107</v>
      </c>
      <c r="I281" s="43">
        <f t="shared" si="51"/>
        <v>1.0551697530864197E-3</v>
      </c>
      <c r="J281" s="71"/>
      <c r="K281" s="52" t="str">
        <f t="shared" si="50"/>
        <v/>
      </c>
      <c r="L281" s="41"/>
      <c r="M281" s="41"/>
      <c r="N281" s="30"/>
      <c r="O281" s="82"/>
      <c r="P281" s="41"/>
      <c r="Q281" s="41"/>
      <c r="R281" s="41"/>
      <c r="S281" s="50"/>
      <c r="T281" s="41"/>
      <c r="U281" s="85"/>
      <c r="V281" s="30"/>
      <c r="W281" s="30"/>
      <c r="X281" s="30"/>
      <c r="Y281" s="30"/>
      <c r="Z281" s="50"/>
      <c r="AA281" s="41"/>
      <c r="AB281" s="35"/>
      <c r="AC281" s="37"/>
      <c r="AD281" s="41"/>
      <c r="AE281" s="41"/>
      <c r="AF281" s="41"/>
    </row>
    <row r="282" spans="1:32" ht="16" customHeight="1" x14ac:dyDescent="0.2">
      <c r="A282" s="37"/>
      <c r="B282" s="174"/>
      <c r="C282" s="175"/>
      <c r="D282" s="84"/>
      <c r="E282" s="43"/>
      <c r="F282" s="43"/>
      <c r="G282" s="53"/>
      <c r="H282" s="43" t="s">
        <v>108</v>
      </c>
      <c r="I282" s="43">
        <f t="shared" si="51"/>
        <v>1.0551697530864197E-3</v>
      </c>
      <c r="J282" s="71"/>
      <c r="K282" s="52" t="str">
        <f t="shared" si="50"/>
        <v/>
      </c>
      <c r="L282" s="41"/>
      <c r="M282" s="41"/>
      <c r="N282" s="41"/>
      <c r="O282" s="82"/>
      <c r="P282" s="41"/>
      <c r="Q282" s="41"/>
      <c r="R282" s="41"/>
      <c r="S282" s="50"/>
      <c r="T282" s="41"/>
      <c r="U282" s="86"/>
      <c r="V282" s="30"/>
      <c r="W282" s="30"/>
      <c r="X282" s="30"/>
      <c r="Y282" s="30"/>
      <c r="Z282" s="50"/>
      <c r="AA282" s="41"/>
      <c r="AB282" s="44"/>
      <c r="AC282" s="37"/>
      <c r="AD282" s="41"/>
      <c r="AE282" s="41"/>
      <c r="AF282" s="41"/>
    </row>
    <row r="283" spans="1:32" ht="16" customHeight="1" x14ac:dyDescent="0.2">
      <c r="A283" s="37"/>
      <c r="B283" s="174"/>
      <c r="C283" s="175"/>
      <c r="D283" s="84"/>
      <c r="E283" s="43"/>
      <c r="F283" s="43"/>
      <c r="G283" s="53"/>
      <c r="H283" s="43" t="s">
        <v>109</v>
      </c>
      <c r="I283" s="43">
        <f t="shared" si="51"/>
        <v>1.0551697530864197E-3</v>
      </c>
      <c r="J283" s="71"/>
      <c r="K283" s="52" t="str">
        <f t="shared" ref="K283:K284" si="53">IF(J283="","",ABS(I283-J283))</f>
        <v/>
      </c>
      <c r="L283" s="41"/>
      <c r="M283" s="41"/>
      <c r="N283" s="30"/>
      <c r="O283" s="82"/>
      <c r="P283" s="41"/>
      <c r="Q283" s="41"/>
      <c r="R283" s="41"/>
      <c r="S283" s="50"/>
      <c r="T283" s="41"/>
      <c r="U283" s="85"/>
      <c r="V283" s="30"/>
      <c r="W283" s="30"/>
      <c r="X283" s="30"/>
      <c r="Y283" s="30"/>
      <c r="Z283" s="50"/>
      <c r="AA283" s="41"/>
      <c r="AB283" s="35"/>
      <c r="AC283" s="37"/>
      <c r="AD283" s="41"/>
      <c r="AE283" s="41"/>
      <c r="AF283" s="41"/>
    </row>
    <row r="284" spans="1:32" ht="16" customHeight="1" x14ac:dyDescent="0.2">
      <c r="A284" s="37"/>
      <c r="B284" s="174"/>
      <c r="C284" s="175"/>
      <c r="D284" s="84"/>
      <c r="E284" s="43"/>
      <c r="F284" s="43"/>
      <c r="G284" s="53"/>
      <c r="H284" s="43" t="s">
        <v>125</v>
      </c>
      <c r="I284" s="43">
        <f t="shared" si="51"/>
        <v>1.0551697530864197E-3</v>
      </c>
      <c r="J284" s="71"/>
      <c r="K284" s="52" t="str">
        <f t="shared" si="53"/>
        <v/>
      </c>
      <c r="L284" s="41"/>
      <c r="M284" s="41"/>
      <c r="N284" s="41"/>
      <c r="O284" s="82"/>
      <c r="P284" s="41"/>
      <c r="Q284" s="41"/>
      <c r="R284" s="41"/>
      <c r="S284" s="50"/>
      <c r="T284" s="41"/>
      <c r="U284" s="86"/>
      <c r="V284" s="30"/>
      <c r="W284" s="30"/>
      <c r="X284" s="30"/>
      <c r="Y284" s="30"/>
      <c r="Z284" s="50"/>
      <c r="AA284" s="41"/>
      <c r="AB284" s="44"/>
      <c r="AC284" s="37"/>
      <c r="AD284" s="41"/>
      <c r="AE284" s="41"/>
      <c r="AF284" s="41"/>
    </row>
    <row r="285" spans="1:32" ht="16" customHeight="1" x14ac:dyDescent="0.2">
      <c r="A285" s="37"/>
      <c r="B285" s="174"/>
      <c r="C285" s="175"/>
      <c r="D285" s="84"/>
      <c r="E285" s="43"/>
      <c r="F285" s="43"/>
      <c r="G285" s="53"/>
      <c r="H285" s="43" t="s">
        <v>126</v>
      </c>
      <c r="I285" s="43">
        <f t="shared" si="51"/>
        <v>1.0551697530864197E-3</v>
      </c>
      <c r="J285" s="71"/>
      <c r="K285" s="52" t="str">
        <f t="shared" ref="K285:K286" si="54">IF(J285="","",ABS(I285-J285))</f>
        <v/>
      </c>
      <c r="L285" s="41"/>
      <c r="M285" s="41"/>
      <c r="N285" s="30"/>
      <c r="O285" s="82"/>
      <c r="P285" s="41"/>
      <c r="Q285" s="41"/>
      <c r="R285" s="41"/>
      <c r="S285" s="50"/>
      <c r="T285" s="41"/>
      <c r="U285" s="85"/>
      <c r="V285" s="30"/>
      <c r="W285" s="30"/>
      <c r="X285" s="30"/>
      <c r="Y285" s="30"/>
      <c r="Z285" s="50"/>
      <c r="AA285" s="41"/>
      <c r="AB285" s="35"/>
      <c r="AC285" s="37"/>
      <c r="AD285" s="41"/>
      <c r="AE285" s="41"/>
      <c r="AF285" s="41"/>
    </row>
    <row r="286" spans="1:32" ht="16" customHeight="1" x14ac:dyDescent="0.2">
      <c r="A286" s="37"/>
      <c r="B286" s="174"/>
      <c r="C286" s="175"/>
      <c r="D286" s="84"/>
      <c r="E286" s="43"/>
      <c r="F286" s="43"/>
      <c r="G286" s="53"/>
      <c r="H286" s="43" t="s">
        <v>141</v>
      </c>
      <c r="I286" s="43">
        <f t="shared" si="51"/>
        <v>1.0551697530864197E-3</v>
      </c>
      <c r="J286" s="71"/>
      <c r="K286" s="52" t="str">
        <f t="shared" si="54"/>
        <v/>
      </c>
      <c r="L286" s="41"/>
      <c r="M286" s="41"/>
      <c r="N286" s="41"/>
      <c r="O286" s="82"/>
      <c r="P286" s="41"/>
      <c r="Q286" s="41"/>
      <c r="R286" s="41"/>
      <c r="S286" s="50"/>
      <c r="T286" s="41"/>
      <c r="U286" s="86"/>
      <c r="V286" s="30"/>
      <c r="W286" s="30"/>
      <c r="X286" s="30"/>
      <c r="Y286" s="30"/>
      <c r="Z286" s="50"/>
      <c r="AA286" s="41"/>
      <c r="AB286" s="44"/>
      <c r="AC286" s="37"/>
      <c r="AD286" s="41"/>
      <c r="AE286" s="41"/>
      <c r="AF286" s="41"/>
    </row>
    <row r="287" spans="1:32" ht="16" customHeight="1" thickBot="1" x14ac:dyDescent="0.25">
      <c r="A287" s="37"/>
      <c r="B287" s="198"/>
      <c r="C287" s="199"/>
      <c r="D287" s="87"/>
      <c r="E287" s="40"/>
      <c r="F287" s="40"/>
      <c r="G287" s="51"/>
      <c r="H287" s="43" t="s">
        <v>142</v>
      </c>
      <c r="I287" s="43">
        <f t="shared" si="51"/>
        <v>1.0551697530864197E-3</v>
      </c>
      <c r="J287" s="72"/>
      <c r="K287" s="52" t="str">
        <f t="shared" si="50"/>
        <v/>
      </c>
      <c r="L287" s="194"/>
      <c r="M287" s="195"/>
      <c r="N287" s="195"/>
      <c r="O287" s="97"/>
      <c r="P287" s="42"/>
      <c r="Q287" s="42"/>
      <c r="R287" s="42"/>
      <c r="S287" s="194"/>
      <c r="T287" s="195"/>
      <c r="U287" s="196"/>
      <c r="V287" s="34"/>
      <c r="W287" s="34"/>
      <c r="X287" s="34"/>
      <c r="Y287" s="34"/>
      <c r="Z287" s="194"/>
      <c r="AA287" s="195"/>
      <c r="AB287" s="197"/>
      <c r="AC287" s="37"/>
      <c r="AD287" s="41"/>
      <c r="AE287" s="41"/>
      <c r="AF287" s="41"/>
    </row>
    <row r="288" spans="1:32" ht="16" customHeight="1" x14ac:dyDescent="0.2">
      <c r="A288" s="37"/>
      <c r="B288" s="172">
        <f>B273+1</f>
        <v>2</v>
      </c>
      <c r="C288" s="173"/>
      <c r="D288" s="178">
        <f>D273+(B288-1)*7</f>
        <v>42661</v>
      </c>
      <c r="E288" s="179"/>
      <c r="F288" s="179"/>
      <c r="G288" s="179"/>
      <c r="H288" s="179"/>
      <c r="I288" s="179"/>
      <c r="J288" s="179"/>
      <c r="K288" s="179"/>
      <c r="L288" s="179"/>
      <c r="M288" s="179"/>
      <c r="N288" s="179"/>
      <c r="O288" s="178">
        <f>O273+(B288-1)*7</f>
        <v>42664</v>
      </c>
      <c r="P288" s="179"/>
      <c r="Q288" s="179"/>
      <c r="R288" s="179"/>
      <c r="S288" s="179"/>
      <c r="T288" s="179"/>
      <c r="U288" s="180"/>
      <c r="V288" s="179">
        <f>V273+(B288-1)*7</f>
        <v>42666</v>
      </c>
      <c r="W288" s="179"/>
      <c r="X288" s="179"/>
      <c r="Y288" s="179"/>
      <c r="Z288" s="179"/>
      <c r="AA288" s="179"/>
      <c r="AB288" s="181"/>
      <c r="AC288" s="37"/>
      <c r="AD288" s="41"/>
      <c r="AE288" s="41"/>
      <c r="AF288" s="41"/>
    </row>
    <row r="289" spans="1:32" ht="16" customHeight="1" x14ac:dyDescent="0.2">
      <c r="A289" s="37"/>
      <c r="B289" s="174"/>
      <c r="C289" s="175"/>
      <c r="D289" s="182" t="s">
        <v>99</v>
      </c>
      <c r="E289" s="183"/>
      <c r="F289" s="183"/>
      <c r="G289" s="184"/>
      <c r="H289" s="185" t="s">
        <v>101</v>
      </c>
      <c r="I289" s="183"/>
      <c r="J289" s="183"/>
      <c r="K289" s="184"/>
      <c r="L289" s="183" t="s">
        <v>100</v>
      </c>
      <c r="M289" s="183"/>
      <c r="N289" s="183"/>
      <c r="O289" s="182" t="s">
        <v>99</v>
      </c>
      <c r="P289" s="183"/>
      <c r="Q289" s="183"/>
      <c r="R289" s="183"/>
      <c r="S289" s="185" t="s">
        <v>100</v>
      </c>
      <c r="T289" s="183"/>
      <c r="U289" s="186"/>
      <c r="V289" s="183" t="s">
        <v>99</v>
      </c>
      <c r="W289" s="183"/>
      <c r="X289" s="183"/>
      <c r="Y289" s="183"/>
      <c r="Z289" s="185" t="s">
        <v>100</v>
      </c>
      <c r="AA289" s="183"/>
      <c r="AB289" s="187"/>
      <c r="AC289" s="37"/>
      <c r="AD289" s="41"/>
      <c r="AE289" s="41"/>
      <c r="AF289" s="41"/>
    </row>
    <row r="290" spans="1:32" ht="16" customHeight="1" x14ac:dyDescent="0.2">
      <c r="A290" s="37"/>
      <c r="B290" s="174"/>
      <c r="C290" s="175"/>
      <c r="D290" s="188" t="s">
        <v>110</v>
      </c>
      <c r="E290" s="189"/>
      <c r="F290" s="189"/>
      <c r="G290" s="190"/>
      <c r="H290" s="43" t="s">
        <v>113</v>
      </c>
      <c r="I290" s="43" t="s">
        <v>114</v>
      </c>
      <c r="J290" s="71" t="s">
        <v>115</v>
      </c>
      <c r="K290" s="53" t="s">
        <v>116</v>
      </c>
      <c r="L290" s="74" t="s">
        <v>96</v>
      </c>
      <c r="M290" s="191"/>
      <c r="N290" s="191"/>
      <c r="O290" s="188" t="s">
        <v>110</v>
      </c>
      <c r="P290" s="189"/>
      <c r="Q290" s="189"/>
      <c r="R290" s="189"/>
      <c r="S290" s="77" t="s">
        <v>96</v>
      </c>
      <c r="T290" s="191"/>
      <c r="U290" s="192"/>
      <c r="V290" s="189" t="s">
        <v>110</v>
      </c>
      <c r="W290" s="189"/>
      <c r="X290" s="189"/>
      <c r="Y290" s="189"/>
      <c r="Z290" s="77" t="s">
        <v>96</v>
      </c>
      <c r="AA290" s="191"/>
      <c r="AB290" s="193"/>
      <c r="AC290" s="37"/>
      <c r="AD290" s="41"/>
      <c r="AE290" s="41"/>
      <c r="AF290" s="41"/>
    </row>
    <row r="291" spans="1:32" ht="16" customHeight="1" x14ac:dyDescent="0.2">
      <c r="A291" s="37"/>
      <c r="B291" s="174"/>
      <c r="C291" s="175"/>
      <c r="D291" s="82" t="s">
        <v>53</v>
      </c>
      <c r="E291" s="41" t="s">
        <v>54</v>
      </c>
      <c r="F291" s="41" t="s">
        <v>90</v>
      </c>
      <c r="G291" s="53" t="s">
        <v>55</v>
      </c>
      <c r="H291" s="43" t="s">
        <v>102</v>
      </c>
      <c r="I291" s="43">
        <f>F292</f>
        <v>1.0551697530864197E-3</v>
      </c>
      <c r="J291" s="71"/>
      <c r="K291" s="52" t="str">
        <f>IF(J291="","",ABS(I291-J291))</f>
        <v/>
      </c>
      <c r="L291" s="75" t="s">
        <v>97</v>
      </c>
      <c r="M291" s="164"/>
      <c r="N291" s="164"/>
      <c r="O291" s="82" t="s">
        <v>54</v>
      </c>
      <c r="P291" s="41" t="s">
        <v>65</v>
      </c>
      <c r="Q291" s="67" t="s">
        <v>117</v>
      </c>
      <c r="R291" s="41" t="s">
        <v>116</v>
      </c>
      <c r="S291" s="78" t="s">
        <v>97</v>
      </c>
      <c r="T291" s="164"/>
      <c r="U291" s="168"/>
      <c r="V291" s="41" t="s">
        <v>54</v>
      </c>
      <c r="W291" s="41" t="s">
        <v>65</v>
      </c>
      <c r="X291" s="67" t="s">
        <v>117</v>
      </c>
      <c r="Y291" s="41" t="s">
        <v>116</v>
      </c>
      <c r="Z291" s="78" t="s">
        <v>97</v>
      </c>
      <c r="AA291" s="164"/>
      <c r="AB291" s="169"/>
      <c r="AC291" s="37"/>
      <c r="AD291" s="41"/>
      <c r="AE291" s="41"/>
      <c r="AF291" s="41"/>
    </row>
    <row r="292" spans="1:32" ht="16" customHeight="1" x14ac:dyDescent="0.2">
      <c r="A292" s="37"/>
      <c r="B292" s="174"/>
      <c r="C292" s="175"/>
      <c r="D292" s="82" t="s">
        <v>60</v>
      </c>
      <c r="E292" s="41">
        <v>400</v>
      </c>
      <c r="F292" s="43">
        <f>F269</f>
        <v>1.0551697530864197E-3</v>
      </c>
      <c r="G292" s="53" t="s">
        <v>57</v>
      </c>
      <c r="H292" s="43" t="s">
        <v>103</v>
      </c>
      <c r="I292" s="43">
        <f t="shared" ref="I292:I297" si="55">F293</f>
        <v>1.6116898148148149E-3</v>
      </c>
      <c r="J292" s="71"/>
      <c r="K292" s="52" t="str">
        <f t="shared" ref="K292:K299" si="56">IF(J292="","",ABS(I292-J292))</f>
        <v/>
      </c>
      <c r="L292" s="75" t="s">
        <v>98</v>
      </c>
      <c r="M292" s="164"/>
      <c r="N292" s="164"/>
      <c r="O292" s="82" t="s">
        <v>122</v>
      </c>
      <c r="P292" s="43">
        <f>S272</f>
        <v>3.7268518518518519E-3</v>
      </c>
      <c r="Q292" s="71"/>
      <c r="R292" s="52" t="str">
        <f>IF(Q292="","",ABS(P292-Q292))</f>
        <v/>
      </c>
      <c r="S292" s="78" t="s">
        <v>98</v>
      </c>
      <c r="T292" s="164"/>
      <c r="U292" s="168"/>
      <c r="V292" s="41" t="s">
        <v>138</v>
      </c>
      <c r="W292" s="43">
        <f>Z270+13/86400</f>
        <v>3.354552469135802E-3</v>
      </c>
      <c r="X292" s="71"/>
      <c r="Y292" s="52" t="str">
        <f>IF(X292="","",ABS(W292-X292))</f>
        <v/>
      </c>
      <c r="Z292" s="78" t="s">
        <v>98</v>
      </c>
      <c r="AA292" s="164"/>
      <c r="AB292" s="169"/>
      <c r="AC292" s="37"/>
      <c r="AD292" s="41"/>
      <c r="AE292" s="41"/>
      <c r="AF292" s="41"/>
    </row>
    <row r="293" spans="1:32" ht="16" customHeight="1" x14ac:dyDescent="0.2">
      <c r="A293" s="37"/>
      <c r="B293" s="174"/>
      <c r="C293" s="175"/>
      <c r="D293" s="82" t="s">
        <v>60</v>
      </c>
      <c r="E293" s="41">
        <v>600</v>
      </c>
      <c r="F293" s="43">
        <f>F270</f>
        <v>1.6116898148148149E-3</v>
      </c>
      <c r="G293" s="53" t="s">
        <v>57</v>
      </c>
      <c r="H293" s="43" t="s">
        <v>104</v>
      </c>
      <c r="I293" s="43">
        <f t="shared" si="55"/>
        <v>2.1566358024691359E-3</v>
      </c>
      <c r="J293" s="71"/>
      <c r="K293" s="52" t="str">
        <f t="shared" si="56"/>
        <v/>
      </c>
      <c r="L293" s="170" t="s">
        <v>112</v>
      </c>
      <c r="M293" s="171"/>
      <c r="N293" s="90"/>
      <c r="O293" s="82" t="s">
        <v>119</v>
      </c>
      <c r="P293" s="43">
        <f>S270</f>
        <v>3.1481481481481482E-3</v>
      </c>
      <c r="Q293" s="71"/>
      <c r="R293" s="52" t="str">
        <f t="shared" ref="R293:R294" si="57">IF(Q293="","",ABS(P293-Q293))</f>
        <v/>
      </c>
      <c r="S293" s="170" t="s">
        <v>112</v>
      </c>
      <c r="T293" s="171"/>
      <c r="U293" s="83"/>
      <c r="V293" s="166" t="s">
        <v>111</v>
      </c>
      <c r="W293" s="166"/>
      <c r="X293" s="166"/>
      <c r="Y293" s="167"/>
      <c r="Z293" s="170" t="s">
        <v>112</v>
      </c>
      <c r="AA293" s="171"/>
      <c r="AB293" s="80"/>
      <c r="AC293" s="37"/>
      <c r="AD293" s="41"/>
      <c r="AE293" s="41"/>
      <c r="AF293" s="41"/>
    </row>
    <row r="294" spans="1:32" ht="16" customHeight="1" x14ac:dyDescent="0.2">
      <c r="A294" s="37"/>
      <c r="B294" s="174"/>
      <c r="C294" s="175"/>
      <c r="D294" s="82" t="s">
        <v>60</v>
      </c>
      <c r="E294" s="41">
        <v>800</v>
      </c>
      <c r="F294" s="43">
        <f>F271</f>
        <v>2.1566358024691359E-3</v>
      </c>
      <c r="G294" s="53" t="s">
        <v>57</v>
      </c>
      <c r="H294" s="43" t="s">
        <v>105</v>
      </c>
      <c r="I294" s="43">
        <f t="shared" si="55"/>
        <v>3.3135609567901229E-3</v>
      </c>
      <c r="J294" s="71"/>
      <c r="K294" s="52" t="str">
        <f t="shared" si="56"/>
        <v/>
      </c>
      <c r="L294" s="163" t="s">
        <v>88</v>
      </c>
      <c r="M294" s="164"/>
      <c r="N294" s="164"/>
      <c r="O294" s="82" t="s">
        <v>122</v>
      </c>
      <c r="P294" s="43">
        <f>P292</f>
        <v>3.7268518518518519E-3</v>
      </c>
      <c r="Q294" s="71"/>
      <c r="R294" s="52" t="str">
        <f t="shared" si="57"/>
        <v/>
      </c>
      <c r="S294" s="163" t="s">
        <v>88</v>
      </c>
      <c r="T294" s="164"/>
      <c r="U294" s="168"/>
      <c r="V294" s="30"/>
      <c r="W294" s="30"/>
      <c r="X294" s="30"/>
      <c r="Y294" s="30"/>
      <c r="Z294" s="163" t="s">
        <v>88</v>
      </c>
      <c r="AA294" s="164"/>
      <c r="AB294" s="169"/>
      <c r="AC294" s="37"/>
      <c r="AD294" s="41"/>
      <c r="AE294" s="41"/>
      <c r="AF294" s="41"/>
    </row>
    <row r="295" spans="1:32" ht="16" customHeight="1" x14ac:dyDescent="0.2">
      <c r="A295" s="37"/>
      <c r="B295" s="174"/>
      <c r="C295" s="175"/>
      <c r="D295" s="82" t="s">
        <v>60</v>
      </c>
      <c r="E295" s="41">
        <v>1200</v>
      </c>
      <c r="F295" s="43">
        <f>L269</f>
        <v>3.3135609567901229E-3</v>
      </c>
      <c r="G295" s="53" t="s">
        <v>57</v>
      </c>
      <c r="H295" s="43" t="s">
        <v>106</v>
      </c>
      <c r="I295" s="43">
        <f t="shared" si="55"/>
        <v>2.1566358024691359E-3</v>
      </c>
      <c r="J295" s="71"/>
      <c r="K295" s="52" t="str">
        <f t="shared" ref="K295" si="58">IF(J295="","",ABS(I295-J295))</f>
        <v/>
      </c>
      <c r="L295" s="163"/>
      <c r="M295" s="164"/>
      <c r="N295" s="164"/>
      <c r="O295" s="165" t="s">
        <v>111</v>
      </c>
      <c r="P295" s="166"/>
      <c r="Q295" s="166"/>
      <c r="R295" s="167"/>
      <c r="S295" s="163"/>
      <c r="T295" s="164"/>
      <c r="U295" s="168"/>
      <c r="V295" s="30"/>
      <c r="W295" s="30"/>
      <c r="X295" s="30"/>
      <c r="Y295" s="30"/>
      <c r="Z295" s="163"/>
      <c r="AA295" s="164"/>
      <c r="AB295" s="169"/>
      <c r="AC295" s="37"/>
      <c r="AD295" s="41"/>
      <c r="AE295" s="41"/>
      <c r="AF295" s="41"/>
    </row>
    <row r="296" spans="1:32" ht="16" customHeight="1" x14ac:dyDescent="0.2">
      <c r="A296" s="37"/>
      <c r="B296" s="174"/>
      <c r="C296" s="175"/>
      <c r="D296" s="82" t="s">
        <v>60</v>
      </c>
      <c r="E296" s="41">
        <v>800</v>
      </c>
      <c r="F296" s="43">
        <f>F294</f>
        <v>2.1566358024691359E-3</v>
      </c>
      <c r="G296" s="53" t="s">
        <v>57</v>
      </c>
      <c r="H296" s="43" t="s">
        <v>107</v>
      </c>
      <c r="I296" s="43">
        <f t="shared" si="55"/>
        <v>1.6116898148148149E-3</v>
      </c>
      <c r="J296" s="71"/>
      <c r="K296" s="52" t="str">
        <f t="shared" si="56"/>
        <v/>
      </c>
      <c r="L296" s="41"/>
      <c r="M296" s="41"/>
      <c r="N296" s="41"/>
      <c r="O296" s="82"/>
      <c r="P296" s="43"/>
      <c r="Q296" s="43"/>
      <c r="R296" s="52"/>
      <c r="S296" s="50"/>
      <c r="T296" s="41"/>
      <c r="U296" s="85"/>
      <c r="V296" s="30"/>
      <c r="W296" s="30"/>
      <c r="X296" s="30"/>
      <c r="Y296" s="30"/>
      <c r="Z296" s="50"/>
      <c r="AA296" s="41"/>
      <c r="AB296" s="35"/>
      <c r="AC296" s="37"/>
      <c r="AD296" s="41"/>
      <c r="AE296" s="41"/>
      <c r="AF296" s="41"/>
    </row>
    <row r="297" spans="1:32" ht="16" customHeight="1" x14ac:dyDescent="0.2">
      <c r="A297" s="37"/>
      <c r="B297" s="174"/>
      <c r="C297" s="175"/>
      <c r="D297" s="82" t="s">
        <v>60</v>
      </c>
      <c r="E297" s="41">
        <v>600</v>
      </c>
      <c r="F297" s="43">
        <f>F293</f>
        <v>1.6116898148148149E-3</v>
      </c>
      <c r="G297" s="53" t="s">
        <v>57</v>
      </c>
      <c r="H297" s="43" t="s">
        <v>108</v>
      </c>
      <c r="I297" s="43">
        <f t="shared" si="55"/>
        <v>1.0551697530864197E-3</v>
      </c>
      <c r="J297" s="71"/>
      <c r="K297" s="52" t="str">
        <f t="shared" si="56"/>
        <v/>
      </c>
      <c r="L297" s="41"/>
      <c r="M297" s="41"/>
      <c r="N297" s="30"/>
      <c r="O297" s="82"/>
      <c r="P297" s="43"/>
      <c r="Q297" s="43"/>
      <c r="R297" s="52"/>
      <c r="S297" s="50"/>
      <c r="T297" s="41"/>
      <c r="U297" s="85"/>
      <c r="V297" s="30"/>
      <c r="W297" s="30"/>
      <c r="X297" s="30"/>
      <c r="Y297" s="30"/>
      <c r="Z297" s="50"/>
      <c r="AA297" s="41"/>
      <c r="AB297" s="35"/>
      <c r="AC297" s="37"/>
      <c r="AD297" s="41"/>
      <c r="AE297" s="41"/>
      <c r="AF297" s="41"/>
    </row>
    <row r="298" spans="1:32" ht="16" customHeight="1" x14ac:dyDescent="0.2">
      <c r="A298" s="37"/>
      <c r="B298" s="174"/>
      <c r="C298" s="175"/>
      <c r="D298" s="82" t="s">
        <v>60</v>
      </c>
      <c r="E298" s="41">
        <v>400</v>
      </c>
      <c r="F298" s="43">
        <f>F292</f>
        <v>1.0551697530864197E-3</v>
      </c>
      <c r="G298" s="53" t="s">
        <v>57</v>
      </c>
      <c r="H298" s="43"/>
      <c r="I298" s="43"/>
      <c r="J298" s="43"/>
      <c r="K298" s="52" t="str">
        <f t="shared" ref="K298" si="59">IF(J298="","",ABS(I298-J298))</f>
        <v/>
      </c>
      <c r="L298" s="41"/>
      <c r="M298" s="41"/>
      <c r="N298" s="41"/>
      <c r="O298" s="165"/>
      <c r="P298" s="166"/>
      <c r="Q298" s="166"/>
      <c r="R298" s="167"/>
      <c r="S298" s="50"/>
      <c r="T298" s="41"/>
      <c r="U298" s="86"/>
      <c r="V298" s="30"/>
      <c r="W298" s="30"/>
      <c r="X298" s="30"/>
      <c r="Y298" s="30"/>
      <c r="Z298" s="50"/>
      <c r="AA298" s="41"/>
      <c r="AB298" s="44"/>
      <c r="AC298" s="37"/>
      <c r="AD298" s="41"/>
      <c r="AE298" s="41"/>
      <c r="AF298" s="41"/>
    </row>
    <row r="299" spans="1:32" ht="16" customHeight="1" thickBot="1" x14ac:dyDescent="0.25">
      <c r="A299" s="37"/>
      <c r="B299" s="198"/>
      <c r="C299" s="199"/>
      <c r="D299" s="165" t="s">
        <v>111</v>
      </c>
      <c r="E299" s="166"/>
      <c r="F299" s="166"/>
      <c r="G299" s="167"/>
      <c r="H299" s="40"/>
      <c r="I299" s="40"/>
      <c r="J299" s="43"/>
      <c r="K299" s="52" t="str">
        <f t="shared" si="56"/>
        <v/>
      </c>
      <c r="L299" s="194"/>
      <c r="M299" s="195"/>
      <c r="N299" s="195"/>
      <c r="O299" s="97"/>
      <c r="P299" s="42"/>
      <c r="Q299" s="42"/>
      <c r="R299" s="42"/>
      <c r="S299" s="194"/>
      <c r="T299" s="195"/>
      <c r="U299" s="196"/>
      <c r="V299" s="34"/>
      <c r="W299" s="34"/>
      <c r="X299" s="34"/>
      <c r="Y299" s="34"/>
      <c r="Z299" s="194"/>
      <c r="AA299" s="195"/>
      <c r="AB299" s="197"/>
      <c r="AC299" s="37"/>
      <c r="AD299" s="41"/>
      <c r="AE299" s="41"/>
      <c r="AF299" s="41"/>
    </row>
    <row r="300" spans="1:32" ht="16" customHeight="1" x14ac:dyDescent="0.2">
      <c r="A300" s="37"/>
      <c r="B300" s="172">
        <f>B288+1</f>
        <v>3</v>
      </c>
      <c r="C300" s="173"/>
      <c r="D300" s="178">
        <f>D273+(B300-1)*7</f>
        <v>42668</v>
      </c>
      <c r="E300" s="179"/>
      <c r="F300" s="179"/>
      <c r="G300" s="179"/>
      <c r="H300" s="179"/>
      <c r="I300" s="179"/>
      <c r="J300" s="179"/>
      <c r="K300" s="179"/>
      <c r="L300" s="179"/>
      <c r="M300" s="179"/>
      <c r="N300" s="179"/>
      <c r="O300" s="178">
        <f>O273+(B300-1)*7</f>
        <v>42671</v>
      </c>
      <c r="P300" s="179"/>
      <c r="Q300" s="179"/>
      <c r="R300" s="179"/>
      <c r="S300" s="179"/>
      <c r="T300" s="179"/>
      <c r="U300" s="180"/>
      <c r="V300" s="179">
        <f>V273+(B300-1)*7</f>
        <v>42673</v>
      </c>
      <c r="W300" s="179"/>
      <c r="X300" s="179"/>
      <c r="Y300" s="179"/>
      <c r="Z300" s="179"/>
      <c r="AA300" s="179"/>
      <c r="AB300" s="181"/>
      <c r="AC300" s="37"/>
      <c r="AD300" s="41"/>
      <c r="AE300" s="41"/>
      <c r="AF300" s="41"/>
    </row>
    <row r="301" spans="1:32" ht="16" customHeight="1" x14ac:dyDescent="0.2">
      <c r="A301" s="37"/>
      <c r="B301" s="174"/>
      <c r="C301" s="175"/>
      <c r="D301" s="182" t="s">
        <v>99</v>
      </c>
      <c r="E301" s="183"/>
      <c r="F301" s="183"/>
      <c r="G301" s="184"/>
      <c r="H301" s="185" t="s">
        <v>101</v>
      </c>
      <c r="I301" s="183"/>
      <c r="J301" s="183"/>
      <c r="K301" s="184"/>
      <c r="L301" s="183" t="s">
        <v>100</v>
      </c>
      <c r="M301" s="183"/>
      <c r="N301" s="183"/>
      <c r="O301" s="182" t="s">
        <v>99</v>
      </c>
      <c r="P301" s="183"/>
      <c r="Q301" s="183"/>
      <c r="R301" s="183"/>
      <c r="S301" s="185" t="s">
        <v>100</v>
      </c>
      <c r="T301" s="183"/>
      <c r="U301" s="186"/>
      <c r="V301" s="183" t="s">
        <v>99</v>
      </c>
      <c r="W301" s="183"/>
      <c r="X301" s="183"/>
      <c r="Y301" s="183"/>
      <c r="Z301" s="185" t="s">
        <v>100</v>
      </c>
      <c r="AA301" s="183"/>
      <c r="AB301" s="187"/>
      <c r="AC301" s="37"/>
      <c r="AD301" s="41"/>
      <c r="AE301" s="41"/>
      <c r="AF301" s="41"/>
    </row>
    <row r="302" spans="1:32" ht="16" customHeight="1" x14ac:dyDescent="0.2">
      <c r="A302" s="37"/>
      <c r="B302" s="174"/>
      <c r="C302" s="175"/>
      <c r="D302" s="188" t="s">
        <v>110</v>
      </c>
      <c r="E302" s="189"/>
      <c r="F302" s="189"/>
      <c r="G302" s="190"/>
      <c r="H302" s="43" t="s">
        <v>113</v>
      </c>
      <c r="I302" s="43" t="s">
        <v>114</v>
      </c>
      <c r="J302" s="71" t="s">
        <v>115</v>
      </c>
      <c r="K302" s="53" t="s">
        <v>116</v>
      </c>
      <c r="L302" s="74" t="s">
        <v>96</v>
      </c>
      <c r="M302" s="191"/>
      <c r="N302" s="191"/>
      <c r="O302" s="188" t="s">
        <v>110</v>
      </c>
      <c r="P302" s="189"/>
      <c r="Q302" s="189"/>
      <c r="R302" s="189"/>
      <c r="S302" s="77" t="s">
        <v>96</v>
      </c>
      <c r="T302" s="191"/>
      <c r="U302" s="192"/>
      <c r="V302" s="189" t="s">
        <v>110</v>
      </c>
      <c r="W302" s="189"/>
      <c r="X302" s="189"/>
      <c r="Y302" s="189"/>
      <c r="Z302" s="77" t="s">
        <v>96</v>
      </c>
      <c r="AA302" s="191"/>
      <c r="AB302" s="193"/>
      <c r="AC302" s="37"/>
      <c r="AD302" s="41"/>
      <c r="AE302" s="41"/>
      <c r="AF302" s="41"/>
    </row>
    <row r="303" spans="1:32" ht="16" customHeight="1" x14ac:dyDescent="0.2">
      <c r="A303" s="37"/>
      <c r="B303" s="174"/>
      <c r="C303" s="175"/>
      <c r="D303" s="82" t="s">
        <v>53</v>
      </c>
      <c r="E303" s="41" t="s">
        <v>54</v>
      </c>
      <c r="F303" s="41" t="s">
        <v>90</v>
      </c>
      <c r="G303" s="53" t="s">
        <v>55</v>
      </c>
      <c r="H303" s="43" t="s">
        <v>102</v>
      </c>
      <c r="I303" s="43">
        <f>F304</f>
        <v>2.1566358024691359E-3</v>
      </c>
      <c r="J303" s="71"/>
      <c r="K303" s="52" t="str">
        <f>IF(J303="","",ABS(I303-J303))</f>
        <v/>
      </c>
      <c r="L303" s="75" t="s">
        <v>97</v>
      </c>
      <c r="M303" s="164"/>
      <c r="N303" s="164"/>
      <c r="O303" s="82" t="s">
        <v>54</v>
      </c>
      <c r="P303" s="41" t="s">
        <v>65</v>
      </c>
      <c r="Q303" s="67" t="s">
        <v>117</v>
      </c>
      <c r="R303" s="41" t="s">
        <v>116</v>
      </c>
      <c r="S303" s="78" t="s">
        <v>97</v>
      </c>
      <c r="T303" s="164"/>
      <c r="U303" s="168"/>
      <c r="V303" s="41" t="s">
        <v>54</v>
      </c>
      <c r="W303" s="41" t="s">
        <v>65</v>
      </c>
      <c r="X303" s="67" t="s">
        <v>117</v>
      </c>
      <c r="Y303" s="41" t="s">
        <v>116</v>
      </c>
      <c r="Z303" s="78" t="s">
        <v>97</v>
      </c>
      <c r="AA303" s="164"/>
      <c r="AB303" s="169"/>
      <c r="AC303" s="37"/>
      <c r="AD303" s="41"/>
      <c r="AE303" s="41"/>
      <c r="AF303" s="41"/>
    </row>
    <row r="304" spans="1:32" ht="16" customHeight="1" x14ac:dyDescent="0.2">
      <c r="A304" s="37"/>
      <c r="B304" s="174"/>
      <c r="C304" s="175"/>
      <c r="D304" s="82" t="s">
        <v>63</v>
      </c>
      <c r="E304" s="41">
        <v>800</v>
      </c>
      <c r="F304" s="43">
        <f>F271</f>
        <v>2.1566358024691359E-3</v>
      </c>
      <c r="G304" s="53" t="s">
        <v>127</v>
      </c>
      <c r="H304" s="43" t="s">
        <v>103</v>
      </c>
      <c r="I304" s="43">
        <f>I303</f>
        <v>2.1566358024691359E-3</v>
      </c>
      <c r="J304" s="71"/>
      <c r="K304" s="52" t="str">
        <f t="shared" ref="K304:K308" si="60">IF(J304="","",ABS(I304-J304))</f>
        <v/>
      </c>
      <c r="L304" s="75" t="s">
        <v>98</v>
      </c>
      <c r="M304" s="164"/>
      <c r="N304" s="164"/>
      <c r="O304" s="82" t="s">
        <v>118</v>
      </c>
      <c r="P304" s="43">
        <f>S272</f>
        <v>3.7268518518518519E-3</v>
      </c>
      <c r="Q304" s="71"/>
      <c r="R304" s="76" t="str">
        <f>IF(Q304="","",ABS(P304-Q304))</f>
        <v/>
      </c>
      <c r="S304" s="78" t="s">
        <v>98</v>
      </c>
      <c r="T304" s="164"/>
      <c r="U304" s="168"/>
      <c r="V304" s="41" t="s">
        <v>139</v>
      </c>
      <c r="W304" s="43">
        <f>S272</f>
        <v>3.7268518518518519E-3</v>
      </c>
      <c r="X304" s="71"/>
      <c r="Y304" s="52" t="str">
        <f>IF(X304="","",ABS(W304-X304))</f>
        <v/>
      </c>
      <c r="Z304" s="78" t="s">
        <v>98</v>
      </c>
      <c r="AA304" s="164"/>
      <c r="AB304" s="169"/>
      <c r="AC304" s="37"/>
      <c r="AD304" s="41"/>
      <c r="AE304" s="41"/>
      <c r="AF304" s="41"/>
    </row>
    <row r="305" spans="1:32" ht="16" customHeight="1" x14ac:dyDescent="0.2">
      <c r="A305" s="37"/>
      <c r="B305" s="174"/>
      <c r="C305" s="175"/>
      <c r="D305" s="165" t="s">
        <v>111</v>
      </c>
      <c r="E305" s="166"/>
      <c r="F305" s="166"/>
      <c r="G305" s="167"/>
      <c r="H305" s="43" t="s">
        <v>104</v>
      </c>
      <c r="I305" s="43">
        <f t="shared" ref="I305:I308" si="61">I304</f>
        <v>2.1566358024691359E-3</v>
      </c>
      <c r="J305" s="71"/>
      <c r="K305" s="52" t="str">
        <f t="shared" si="60"/>
        <v/>
      </c>
      <c r="L305" s="170" t="s">
        <v>112</v>
      </c>
      <c r="M305" s="171"/>
      <c r="N305" s="90"/>
      <c r="O305" s="82" t="s">
        <v>120</v>
      </c>
      <c r="P305" s="43">
        <f>S269</f>
        <v>3.0324074074074073E-3</v>
      </c>
      <c r="Q305" s="71"/>
      <c r="R305" s="76" t="str">
        <f t="shared" ref="R305:R306" si="62">IF(Q305="","",ABS(P305-Q305))</f>
        <v/>
      </c>
      <c r="S305" s="170" t="s">
        <v>112</v>
      </c>
      <c r="T305" s="171"/>
      <c r="U305" s="83"/>
      <c r="V305" s="166" t="s">
        <v>111</v>
      </c>
      <c r="W305" s="166"/>
      <c r="X305" s="166"/>
      <c r="Y305" s="167"/>
      <c r="Z305" s="170" t="s">
        <v>112</v>
      </c>
      <c r="AA305" s="171"/>
      <c r="AB305" s="80"/>
      <c r="AC305" s="37"/>
      <c r="AD305" s="41"/>
      <c r="AE305" s="41"/>
      <c r="AF305" s="41"/>
    </row>
    <row r="306" spans="1:32" ht="16" customHeight="1" x14ac:dyDescent="0.2">
      <c r="A306" s="37"/>
      <c r="B306" s="174"/>
      <c r="C306" s="175"/>
      <c r="D306" s="82"/>
      <c r="E306" s="41"/>
      <c r="F306" s="43"/>
      <c r="G306" s="53"/>
      <c r="H306" s="43" t="s">
        <v>105</v>
      </c>
      <c r="I306" s="43">
        <f t="shared" si="61"/>
        <v>2.1566358024691359E-3</v>
      </c>
      <c r="J306" s="71"/>
      <c r="K306" s="52" t="str">
        <f t="shared" si="60"/>
        <v/>
      </c>
      <c r="L306" s="163" t="s">
        <v>88</v>
      </c>
      <c r="M306" s="164"/>
      <c r="N306" s="164"/>
      <c r="O306" s="82" t="s">
        <v>122</v>
      </c>
      <c r="P306" s="43">
        <f>S272</f>
        <v>3.7268518518518519E-3</v>
      </c>
      <c r="Q306" s="71"/>
      <c r="R306" s="76" t="str">
        <f t="shared" si="62"/>
        <v/>
      </c>
      <c r="S306" s="163" t="s">
        <v>88</v>
      </c>
      <c r="T306" s="164"/>
      <c r="U306" s="168"/>
      <c r="V306" s="30"/>
      <c r="W306" s="30"/>
      <c r="X306" s="30"/>
      <c r="Y306" s="30"/>
      <c r="Z306" s="163" t="s">
        <v>88</v>
      </c>
      <c r="AA306" s="164"/>
      <c r="AB306" s="169"/>
      <c r="AC306" s="37"/>
      <c r="AD306" s="41"/>
      <c r="AE306" s="41"/>
      <c r="AF306" s="41"/>
    </row>
    <row r="307" spans="1:32" ht="16" customHeight="1" x14ac:dyDescent="0.2">
      <c r="A307" s="37"/>
      <c r="B307" s="174"/>
      <c r="C307" s="175"/>
      <c r="D307" s="82"/>
      <c r="E307" s="41"/>
      <c r="F307" s="43"/>
      <c r="G307" s="53"/>
      <c r="H307" s="43" t="s">
        <v>106</v>
      </c>
      <c r="I307" s="43">
        <f t="shared" si="61"/>
        <v>2.1566358024691359E-3</v>
      </c>
      <c r="J307" s="71"/>
      <c r="K307" s="52" t="str">
        <f t="shared" si="60"/>
        <v/>
      </c>
      <c r="L307" s="163"/>
      <c r="M307" s="164"/>
      <c r="N307" s="164"/>
      <c r="O307" s="165" t="s">
        <v>111</v>
      </c>
      <c r="P307" s="166"/>
      <c r="Q307" s="166"/>
      <c r="R307" s="166"/>
      <c r="S307" s="163"/>
      <c r="T307" s="164"/>
      <c r="U307" s="168"/>
      <c r="V307" s="30"/>
      <c r="W307" s="30"/>
      <c r="X307" s="30"/>
      <c r="Y307" s="30"/>
      <c r="Z307" s="163"/>
      <c r="AA307" s="164"/>
      <c r="AB307" s="169"/>
      <c r="AC307" s="37"/>
      <c r="AD307" s="41"/>
      <c r="AE307" s="41"/>
      <c r="AF307" s="41"/>
    </row>
    <row r="308" spans="1:32" ht="16" customHeight="1" thickBot="1" x14ac:dyDescent="0.25">
      <c r="A308" s="37"/>
      <c r="B308" s="174"/>
      <c r="C308" s="175"/>
      <c r="D308" s="82"/>
      <c r="E308" s="41"/>
      <c r="F308" s="43"/>
      <c r="G308" s="53"/>
      <c r="H308" s="43" t="s">
        <v>107</v>
      </c>
      <c r="I308" s="43">
        <f t="shared" si="61"/>
        <v>2.1566358024691359E-3</v>
      </c>
      <c r="J308" s="71"/>
      <c r="K308" s="52" t="str">
        <f t="shared" si="60"/>
        <v/>
      </c>
      <c r="L308" s="41"/>
      <c r="M308" s="41"/>
      <c r="N308" s="30"/>
      <c r="O308" s="82"/>
      <c r="P308" s="43"/>
      <c r="Q308" s="43"/>
      <c r="R308" s="52"/>
      <c r="S308" s="50"/>
      <c r="T308" s="41"/>
      <c r="U308" s="85"/>
      <c r="V308" s="30"/>
      <c r="W308" s="30"/>
      <c r="X308" s="30"/>
      <c r="Y308" s="30"/>
      <c r="Z308" s="50"/>
      <c r="AA308" s="41"/>
      <c r="AB308" s="35"/>
      <c r="AC308" s="37"/>
      <c r="AD308" s="41"/>
      <c r="AE308" s="41"/>
      <c r="AF308" s="41"/>
    </row>
    <row r="309" spans="1:32" ht="16" customHeight="1" x14ac:dyDescent="0.2">
      <c r="A309" s="37"/>
      <c r="B309" s="172">
        <f>B300+1</f>
        <v>4</v>
      </c>
      <c r="C309" s="173"/>
      <c r="D309" s="178">
        <f>D273+(B309-1)*7</f>
        <v>42675</v>
      </c>
      <c r="E309" s="179"/>
      <c r="F309" s="179"/>
      <c r="G309" s="179"/>
      <c r="H309" s="179"/>
      <c r="I309" s="179"/>
      <c r="J309" s="179"/>
      <c r="K309" s="179"/>
      <c r="L309" s="179"/>
      <c r="M309" s="179"/>
      <c r="N309" s="179"/>
      <c r="O309" s="178">
        <f>O273+(B309-1)*7</f>
        <v>42678</v>
      </c>
      <c r="P309" s="179"/>
      <c r="Q309" s="179"/>
      <c r="R309" s="179"/>
      <c r="S309" s="179"/>
      <c r="T309" s="179"/>
      <c r="U309" s="180"/>
      <c r="V309" s="179">
        <f>V273+(B309-1)*7</f>
        <v>42680</v>
      </c>
      <c r="W309" s="179"/>
      <c r="X309" s="179"/>
      <c r="Y309" s="179"/>
      <c r="Z309" s="179"/>
      <c r="AA309" s="179"/>
      <c r="AB309" s="181"/>
      <c r="AC309" s="37"/>
      <c r="AD309" s="41"/>
      <c r="AE309" s="41"/>
      <c r="AF309" s="41"/>
    </row>
    <row r="310" spans="1:32" ht="16" customHeight="1" x14ac:dyDescent="0.2">
      <c r="A310" s="37"/>
      <c r="B310" s="174"/>
      <c r="C310" s="175"/>
      <c r="D310" s="182" t="s">
        <v>99</v>
      </c>
      <c r="E310" s="183"/>
      <c r="F310" s="183"/>
      <c r="G310" s="184"/>
      <c r="H310" s="185" t="s">
        <v>101</v>
      </c>
      <c r="I310" s="183"/>
      <c r="J310" s="183"/>
      <c r="K310" s="184"/>
      <c r="L310" s="183" t="s">
        <v>100</v>
      </c>
      <c r="M310" s="183"/>
      <c r="N310" s="183"/>
      <c r="O310" s="182" t="s">
        <v>99</v>
      </c>
      <c r="P310" s="183"/>
      <c r="Q310" s="183"/>
      <c r="R310" s="183"/>
      <c r="S310" s="185" t="s">
        <v>100</v>
      </c>
      <c r="T310" s="183"/>
      <c r="U310" s="186"/>
      <c r="V310" s="183" t="s">
        <v>99</v>
      </c>
      <c r="W310" s="183"/>
      <c r="X310" s="183"/>
      <c r="Y310" s="183"/>
      <c r="Z310" s="185" t="s">
        <v>100</v>
      </c>
      <c r="AA310" s="183"/>
      <c r="AB310" s="187"/>
      <c r="AC310" s="37"/>
      <c r="AD310" s="41"/>
      <c r="AE310" s="41"/>
      <c r="AF310" s="41"/>
    </row>
    <row r="311" spans="1:32" ht="16" customHeight="1" x14ac:dyDescent="0.2">
      <c r="A311" s="37"/>
      <c r="B311" s="174"/>
      <c r="C311" s="175"/>
      <c r="D311" s="188" t="s">
        <v>110</v>
      </c>
      <c r="E311" s="189"/>
      <c r="F311" s="189"/>
      <c r="G311" s="190"/>
      <c r="H311" s="43" t="s">
        <v>113</v>
      </c>
      <c r="I311" s="43" t="s">
        <v>114</v>
      </c>
      <c r="J311" s="71" t="s">
        <v>115</v>
      </c>
      <c r="K311" s="53" t="s">
        <v>116</v>
      </c>
      <c r="L311" s="74" t="s">
        <v>96</v>
      </c>
      <c r="M311" s="191"/>
      <c r="N311" s="191"/>
      <c r="O311" s="188" t="s">
        <v>110</v>
      </c>
      <c r="P311" s="189"/>
      <c r="Q311" s="189"/>
      <c r="R311" s="189"/>
      <c r="S311" s="77" t="s">
        <v>96</v>
      </c>
      <c r="T311" s="191"/>
      <c r="U311" s="192"/>
      <c r="V311" s="189" t="s">
        <v>110</v>
      </c>
      <c r="W311" s="189"/>
      <c r="X311" s="189"/>
      <c r="Y311" s="189"/>
      <c r="Z311" s="77" t="s">
        <v>96</v>
      </c>
      <c r="AA311" s="191"/>
      <c r="AB311" s="193"/>
      <c r="AC311" s="37"/>
      <c r="AD311" s="41"/>
      <c r="AE311" s="41"/>
      <c r="AF311" s="41"/>
    </row>
    <row r="312" spans="1:32" ht="16" customHeight="1" x14ac:dyDescent="0.2">
      <c r="A312" s="37"/>
      <c r="B312" s="174"/>
      <c r="C312" s="175"/>
      <c r="D312" s="82" t="s">
        <v>53</v>
      </c>
      <c r="E312" s="41" t="s">
        <v>54</v>
      </c>
      <c r="F312" s="41" t="s">
        <v>90</v>
      </c>
      <c r="G312" s="53" t="s">
        <v>55</v>
      </c>
      <c r="H312" s="43" t="s">
        <v>102</v>
      </c>
      <c r="I312" s="43">
        <f>F313</f>
        <v>2.7247299382716049E-3</v>
      </c>
      <c r="J312" s="71"/>
      <c r="K312" s="52" t="str">
        <f>IF(J312="","",ABS(I312-J312))</f>
        <v/>
      </c>
      <c r="L312" s="75" t="s">
        <v>97</v>
      </c>
      <c r="M312" s="164"/>
      <c r="N312" s="164"/>
      <c r="O312" s="82" t="s">
        <v>54</v>
      </c>
      <c r="P312" s="41" t="s">
        <v>65</v>
      </c>
      <c r="Q312" s="67" t="s">
        <v>117</v>
      </c>
      <c r="R312" s="41" t="s">
        <v>116</v>
      </c>
      <c r="S312" s="78" t="s">
        <v>97</v>
      </c>
      <c r="T312" s="164"/>
      <c r="U312" s="168"/>
      <c r="V312" s="41" t="s">
        <v>54</v>
      </c>
      <c r="W312" s="41" t="s">
        <v>65</v>
      </c>
      <c r="X312" s="67" t="s">
        <v>117</v>
      </c>
      <c r="Y312" s="41" t="s">
        <v>116</v>
      </c>
      <c r="Z312" s="78" t="s">
        <v>97</v>
      </c>
      <c r="AA312" s="164"/>
      <c r="AB312" s="169"/>
      <c r="AC312" s="37"/>
      <c r="AD312" s="41"/>
      <c r="AE312" s="41"/>
      <c r="AF312" s="41"/>
    </row>
    <row r="313" spans="1:32" ht="16" customHeight="1" x14ac:dyDescent="0.2">
      <c r="A313" s="37"/>
      <c r="B313" s="174"/>
      <c r="C313" s="175"/>
      <c r="D313" s="82" t="s">
        <v>58</v>
      </c>
      <c r="E313" s="41">
        <v>1000</v>
      </c>
      <c r="F313" s="43">
        <f>F272</f>
        <v>2.7247299382716049E-3</v>
      </c>
      <c r="G313" s="53" t="s">
        <v>57</v>
      </c>
      <c r="H313" s="43" t="s">
        <v>103</v>
      </c>
      <c r="I313" s="43">
        <f>F313</f>
        <v>2.7247299382716049E-3</v>
      </c>
      <c r="J313" s="71"/>
      <c r="K313" s="52" t="str">
        <f t="shared" ref="K313:K316" si="63">IF(J313="","",ABS(I313-J313))</f>
        <v/>
      </c>
      <c r="L313" s="75" t="s">
        <v>98</v>
      </c>
      <c r="M313" s="164"/>
      <c r="N313" s="164"/>
      <c r="O313" s="82" t="s">
        <v>122</v>
      </c>
      <c r="P313" s="43">
        <f>S272</f>
        <v>3.7268518518518519E-3</v>
      </c>
      <c r="Q313" s="71"/>
      <c r="R313" s="52" t="str">
        <f>IF(Q313="","",ABS(P313-Q313))</f>
        <v/>
      </c>
      <c r="S313" s="78" t="s">
        <v>98</v>
      </c>
      <c r="T313" s="164"/>
      <c r="U313" s="168"/>
      <c r="V313" s="41" t="s">
        <v>138</v>
      </c>
      <c r="W313" s="43">
        <f>Z270+13/86400</f>
        <v>3.354552469135802E-3</v>
      </c>
      <c r="X313" s="71"/>
      <c r="Y313" s="52" t="str">
        <f>IF(X313="","",ABS(W313-X313))</f>
        <v/>
      </c>
      <c r="Z313" s="78" t="s">
        <v>98</v>
      </c>
      <c r="AA313" s="164"/>
      <c r="AB313" s="169"/>
      <c r="AC313" s="37"/>
      <c r="AD313" s="41"/>
      <c r="AE313" s="41"/>
      <c r="AF313" s="41"/>
    </row>
    <row r="314" spans="1:32" ht="16" customHeight="1" x14ac:dyDescent="0.2">
      <c r="A314" s="37"/>
      <c r="B314" s="174"/>
      <c r="C314" s="175"/>
      <c r="D314" s="165" t="s">
        <v>111</v>
      </c>
      <c r="E314" s="166"/>
      <c r="F314" s="166"/>
      <c r="G314" s="167"/>
      <c r="H314" s="43" t="s">
        <v>104</v>
      </c>
      <c r="I314" s="43">
        <f>F313</f>
        <v>2.7247299382716049E-3</v>
      </c>
      <c r="J314" s="71"/>
      <c r="K314" s="52" t="str">
        <f t="shared" si="63"/>
        <v/>
      </c>
      <c r="L314" s="170" t="s">
        <v>112</v>
      </c>
      <c r="M314" s="171"/>
      <c r="N314" s="90"/>
      <c r="O314" s="82" t="s">
        <v>120</v>
      </c>
      <c r="P314" s="43">
        <f>S269</f>
        <v>3.0324074074074073E-3</v>
      </c>
      <c r="Q314" s="71"/>
      <c r="R314" s="52" t="str">
        <f t="shared" ref="R314:R315" si="64">IF(Q314="","",ABS(P314-Q314))</f>
        <v/>
      </c>
      <c r="S314" s="170" t="s">
        <v>112</v>
      </c>
      <c r="T314" s="171"/>
      <c r="U314" s="83"/>
      <c r="V314" s="166" t="s">
        <v>111</v>
      </c>
      <c r="W314" s="166"/>
      <c r="X314" s="166"/>
      <c r="Y314" s="167"/>
      <c r="Z314" s="170" t="s">
        <v>112</v>
      </c>
      <c r="AA314" s="171"/>
      <c r="AB314" s="80"/>
      <c r="AC314" s="37"/>
      <c r="AD314" s="41"/>
      <c r="AE314" s="41"/>
      <c r="AF314" s="41"/>
    </row>
    <row r="315" spans="1:32" ht="16" customHeight="1" x14ac:dyDescent="0.2">
      <c r="A315" s="37"/>
      <c r="B315" s="174"/>
      <c r="C315" s="175"/>
      <c r="D315" s="165"/>
      <c r="E315" s="166"/>
      <c r="F315" s="166"/>
      <c r="G315" s="167"/>
      <c r="H315" s="43" t="s">
        <v>105</v>
      </c>
      <c r="I315" s="43">
        <f>F313</f>
        <v>2.7247299382716049E-3</v>
      </c>
      <c r="J315" s="71"/>
      <c r="K315" s="52" t="str">
        <f t="shared" si="63"/>
        <v/>
      </c>
      <c r="L315" s="163" t="s">
        <v>88</v>
      </c>
      <c r="M315" s="164"/>
      <c r="N315" s="164"/>
      <c r="O315" s="82" t="s">
        <v>122</v>
      </c>
      <c r="P315" s="43">
        <f>P313</f>
        <v>3.7268518518518519E-3</v>
      </c>
      <c r="Q315" s="71"/>
      <c r="R315" s="52" t="str">
        <f t="shared" si="64"/>
        <v/>
      </c>
      <c r="S315" s="163" t="s">
        <v>88</v>
      </c>
      <c r="T315" s="164"/>
      <c r="U315" s="168"/>
      <c r="V315" s="30"/>
      <c r="W315" s="30"/>
      <c r="X315" s="30"/>
      <c r="Y315" s="30"/>
      <c r="Z315" s="163" t="s">
        <v>88</v>
      </c>
      <c r="AA315" s="164"/>
      <c r="AB315" s="169"/>
      <c r="AC315" s="37"/>
      <c r="AD315" s="41"/>
      <c r="AE315" s="41"/>
      <c r="AF315" s="41"/>
    </row>
    <row r="316" spans="1:32" ht="16" customHeight="1" thickBot="1" x14ac:dyDescent="0.25">
      <c r="A316" s="37"/>
      <c r="B316" s="174"/>
      <c r="C316" s="175"/>
      <c r="D316" s="84"/>
      <c r="E316" s="43"/>
      <c r="F316" s="43"/>
      <c r="G316" s="53"/>
      <c r="H316" s="43" t="s">
        <v>106</v>
      </c>
      <c r="I316" s="43">
        <f>I315</f>
        <v>2.7247299382716049E-3</v>
      </c>
      <c r="J316" s="71"/>
      <c r="K316" s="52" t="str">
        <f t="shared" si="63"/>
        <v/>
      </c>
      <c r="L316" s="163"/>
      <c r="M316" s="164"/>
      <c r="N316" s="164"/>
      <c r="O316" s="165" t="s">
        <v>111</v>
      </c>
      <c r="P316" s="166"/>
      <c r="Q316" s="166"/>
      <c r="R316" s="167"/>
      <c r="S316" s="163"/>
      <c r="T316" s="164"/>
      <c r="U316" s="168"/>
      <c r="V316" s="30"/>
      <c r="W316" s="30"/>
      <c r="X316" s="30"/>
      <c r="Y316" s="30"/>
      <c r="Z316" s="163"/>
      <c r="AA316" s="164"/>
      <c r="AB316" s="169"/>
      <c r="AC316" s="37"/>
      <c r="AD316" s="41"/>
      <c r="AE316" s="41"/>
      <c r="AF316" s="41"/>
    </row>
    <row r="317" spans="1:32" ht="16" customHeight="1" x14ac:dyDescent="0.2">
      <c r="A317" s="37"/>
      <c r="B317" s="172">
        <f>B309+1</f>
        <v>5</v>
      </c>
      <c r="C317" s="173"/>
      <c r="D317" s="178">
        <f>D273+(B317-1)*7</f>
        <v>42682</v>
      </c>
      <c r="E317" s="179"/>
      <c r="F317" s="179"/>
      <c r="G317" s="179"/>
      <c r="H317" s="179"/>
      <c r="I317" s="179"/>
      <c r="J317" s="179"/>
      <c r="K317" s="179"/>
      <c r="L317" s="179"/>
      <c r="M317" s="179"/>
      <c r="N317" s="179"/>
      <c r="O317" s="178">
        <f>O273+(B317-1)*7</f>
        <v>42685</v>
      </c>
      <c r="P317" s="179"/>
      <c r="Q317" s="179"/>
      <c r="R317" s="179"/>
      <c r="S317" s="179"/>
      <c r="T317" s="179"/>
      <c r="U317" s="180"/>
      <c r="V317" s="179">
        <f>V273+(B317-1)*7</f>
        <v>42687</v>
      </c>
      <c r="W317" s="179"/>
      <c r="X317" s="179"/>
      <c r="Y317" s="179"/>
      <c r="Z317" s="179"/>
      <c r="AA317" s="179"/>
      <c r="AB317" s="181"/>
      <c r="AC317" s="37"/>
      <c r="AD317" s="41"/>
      <c r="AE317" s="41"/>
      <c r="AF317" s="41"/>
    </row>
    <row r="318" spans="1:32" ht="16" customHeight="1" x14ac:dyDescent="0.2">
      <c r="A318" s="37"/>
      <c r="B318" s="174"/>
      <c r="C318" s="175"/>
      <c r="D318" s="182" t="s">
        <v>99</v>
      </c>
      <c r="E318" s="183"/>
      <c r="F318" s="183"/>
      <c r="G318" s="184"/>
      <c r="H318" s="185" t="s">
        <v>101</v>
      </c>
      <c r="I318" s="183"/>
      <c r="J318" s="183"/>
      <c r="K318" s="184"/>
      <c r="L318" s="183" t="s">
        <v>100</v>
      </c>
      <c r="M318" s="183"/>
      <c r="N318" s="183"/>
      <c r="O318" s="182" t="s">
        <v>99</v>
      </c>
      <c r="P318" s="183"/>
      <c r="Q318" s="183"/>
      <c r="R318" s="183"/>
      <c r="S318" s="185" t="s">
        <v>100</v>
      </c>
      <c r="T318" s="183"/>
      <c r="U318" s="186"/>
      <c r="V318" s="183" t="s">
        <v>99</v>
      </c>
      <c r="W318" s="183"/>
      <c r="X318" s="183"/>
      <c r="Y318" s="183"/>
      <c r="Z318" s="185" t="s">
        <v>100</v>
      </c>
      <c r="AA318" s="183"/>
      <c r="AB318" s="187"/>
      <c r="AC318" s="37"/>
      <c r="AD318" s="41"/>
      <c r="AE318" s="41"/>
      <c r="AF318" s="41"/>
    </row>
    <row r="319" spans="1:32" ht="16" customHeight="1" x14ac:dyDescent="0.2">
      <c r="A319" s="37"/>
      <c r="B319" s="174"/>
      <c r="C319" s="175"/>
      <c r="D319" s="188" t="s">
        <v>110</v>
      </c>
      <c r="E319" s="189"/>
      <c r="F319" s="189"/>
      <c r="G319" s="190"/>
      <c r="H319" s="43" t="s">
        <v>113</v>
      </c>
      <c r="I319" s="43" t="s">
        <v>114</v>
      </c>
      <c r="J319" s="71" t="s">
        <v>115</v>
      </c>
      <c r="K319" s="53" t="s">
        <v>116</v>
      </c>
      <c r="L319" s="74" t="s">
        <v>96</v>
      </c>
      <c r="M319" s="191"/>
      <c r="N319" s="191"/>
      <c r="O319" s="188" t="s">
        <v>110</v>
      </c>
      <c r="P319" s="189"/>
      <c r="Q319" s="189"/>
      <c r="R319" s="189"/>
      <c r="S319" s="77" t="s">
        <v>96</v>
      </c>
      <c r="T319" s="191"/>
      <c r="U319" s="192"/>
      <c r="V319" s="189" t="s">
        <v>110</v>
      </c>
      <c r="W319" s="189"/>
      <c r="X319" s="189"/>
      <c r="Y319" s="189"/>
      <c r="Z319" s="77" t="s">
        <v>96</v>
      </c>
      <c r="AA319" s="191"/>
      <c r="AB319" s="193"/>
      <c r="AC319" s="37"/>
      <c r="AD319" s="41"/>
      <c r="AE319" s="41"/>
      <c r="AF319" s="41"/>
    </row>
    <row r="320" spans="1:32" ht="16" customHeight="1" x14ac:dyDescent="0.2">
      <c r="A320" s="37"/>
      <c r="B320" s="174"/>
      <c r="C320" s="175"/>
      <c r="D320" s="82" t="s">
        <v>53</v>
      </c>
      <c r="E320" s="41" t="s">
        <v>54</v>
      </c>
      <c r="F320" s="41" t="s">
        <v>90</v>
      </c>
      <c r="G320" s="53" t="s">
        <v>55</v>
      </c>
      <c r="H320" s="43" t="s">
        <v>102</v>
      </c>
      <c r="I320" s="43">
        <f>F321</f>
        <v>4.5076195987654322E-3</v>
      </c>
      <c r="J320" s="71"/>
      <c r="K320" s="52" t="str">
        <f>IF(J320="","",ABS(I320-J320))</f>
        <v/>
      </c>
      <c r="L320" s="75" t="s">
        <v>97</v>
      </c>
      <c r="M320" s="164"/>
      <c r="N320" s="164"/>
      <c r="O320" s="82" t="s">
        <v>54</v>
      </c>
      <c r="P320" s="41" t="s">
        <v>65</v>
      </c>
      <c r="Q320" s="67" t="s">
        <v>117</v>
      </c>
      <c r="R320" s="41" t="s">
        <v>116</v>
      </c>
      <c r="S320" s="78" t="s">
        <v>97</v>
      </c>
      <c r="T320" s="164"/>
      <c r="U320" s="168"/>
      <c r="V320" s="41" t="s">
        <v>54</v>
      </c>
      <c r="W320" s="41" t="s">
        <v>65</v>
      </c>
      <c r="X320" s="67" t="s">
        <v>117</v>
      </c>
      <c r="Y320" s="41" t="s">
        <v>116</v>
      </c>
      <c r="Z320" s="78" t="s">
        <v>97</v>
      </c>
      <c r="AA320" s="164"/>
      <c r="AB320" s="169"/>
      <c r="AC320" s="37"/>
      <c r="AD320" s="41"/>
      <c r="AE320" s="41"/>
      <c r="AF320" s="41"/>
    </row>
    <row r="321" spans="1:32" ht="16" customHeight="1" x14ac:dyDescent="0.2">
      <c r="A321" s="37"/>
      <c r="B321" s="174"/>
      <c r="C321" s="175"/>
      <c r="D321" s="82" t="s">
        <v>64</v>
      </c>
      <c r="E321" s="41">
        <v>1600</v>
      </c>
      <c r="F321" s="43">
        <f>L270</f>
        <v>4.5076195987654322E-3</v>
      </c>
      <c r="G321" s="53" t="s">
        <v>129</v>
      </c>
      <c r="H321" s="43" t="s">
        <v>103</v>
      </c>
      <c r="I321" s="43">
        <f>F321</f>
        <v>4.5076195987654322E-3</v>
      </c>
      <c r="J321" s="71"/>
      <c r="K321" s="52" t="str">
        <f t="shared" ref="K321:K324" si="65">IF(J321="","",ABS(I321-J321))</f>
        <v/>
      </c>
      <c r="L321" s="75" t="s">
        <v>98</v>
      </c>
      <c r="M321" s="164"/>
      <c r="N321" s="164"/>
      <c r="O321" s="82" t="s">
        <v>122</v>
      </c>
      <c r="P321" s="43">
        <f>S272</f>
        <v>3.7268518518518519E-3</v>
      </c>
      <c r="Q321" s="71"/>
      <c r="R321" s="52" t="str">
        <f>IF(Q321="","",ABS(P321-Q321))</f>
        <v/>
      </c>
      <c r="S321" s="78" t="s">
        <v>98</v>
      </c>
      <c r="T321" s="164"/>
      <c r="U321" s="168"/>
      <c r="V321" s="41" t="s">
        <v>144</v>
      </c>
      <c r="W321" s="43">
        <f>Z270+19/86400</f>
        <v>3.4239969135802465E-3</v>
      </c>
      <c r="X321" s="71"/>
      <c r="Y321" s="52" t="str">
        <f>IF(X321="","",ABS(W321-X321))</f>
        <v/>
      </c>
      <c r="Z321" s="78" t="s">
        <v>98</v>
      </c>
      <c r="AA321" s="164"/>
      <c r="AB321" s="169"/>
      <c r="AC321" s="37"/>
      <c r="AD321" s="41"/>
      <c r="AE321" s="41"/>
      <c r="AF321" s="41"/>
    </row>
    <row r="322" spans="1:32" ht="16" customHeight="1" x14ac:dyDescent="0.2">
      <c r="A322" s="37"/>
      <c r="B322" s="174"/>
      <c r="C322" s="175"/>
      <c r="D322" s="165" t="s">
        <v>111</v>
      </c>
      <c r="E322" s="166"/>
      <c r="F322" s="166"/>
      <c r="G322" s="167"/>
      <c r="H322" s="43" t="s">
        <v>104</v>
      </c>
      <c r="I322" s="43">
        <f>F321</f>
        <v>4.5076195987654322E-3</v>
      </c>
      <c r="J322" s="71"/>
      <c r="K322" s="52" t="str">
        <f t="shared" si="65"/>
        <v/>
      </c>
      <c r="L322" s="170" t="s">
        <v>112</v>
      </c>
      <c r="M322" s="171"/>
      <c r="N322" s="90"/>
      <c r="O322" s="82" t="s">
        <v>121</v>
      </c>
      <c r="P322" s="43">
        <f>S271</f>
        <v>3.2523148148148147E-3</v>
      </c>
      <c r="Q322" s="71"/>
      <c r="R322" s="52" t="str">
        <f t="shared" ref="R322:R323" si="66">IF(Q322="","",ABS(P322-Q322))</f>
        <v/>
      </c>
      <c r="S322" s="170" t="s">
        <v>112</v>
      </c>
      <c r="T322" s="171"/>
      <c r="U322" s="83"/>
      <c r="V322" s="166" t="s">
        <v>111</v>
      </c>
      <c r="W322" s="166"/>
      <c r="X322" s="166"/>
      <c r="Y322" s="167"/>
      <c r="Z322" s="170" t="s">
        <v>112</v>
      </c>
      <c r="AA322" s="171"/>
      <c r="AB322" s="80"/>
      <c r="AC322" s="37"/>
      <c r="AD322" s="41"/>
      <c r="AE322" s="41"/>
      <c r="AF322" s="41"/>
    </row>
    <row r="323" spans="1:32" ht="16" customHeight="1" x14ac:dyDescent="0.2">
      <c r="A323" s="37"/>
      <c r="B323" s="174"/>
      <c r="C323" s="175"/>
      <c r="D323" s="165"/>
      <c r="E323" s="166"/>
      <c r="F323" s="166"/>
      <c r="G323" s="167"/>
      <c r="H323" s="43"/>
      <c r="I323" s="43"/>
      <c r="J323" s="71"/>
      <c r="K323" s="52" t="str">
        <f t="shared" si="65"/>
        <v/>
      </c>
      <c r="L323" s="163" t="s">
        <v>88</v>
      </c>
      <c r="M323" s="164"/>
      <c r="N323" s="164"/>
      <c r="O323" s="82" t="s">
        <v>122</v>
      </c>
      <c r="P323" s="43">
        <f>P321</f>
        <v>3.7268518518518519E-3</v>
      </c>
      <c r="Q323" s="71"/>
      <c r="R323" s="52" t="str">
        <f t="shared" si="66"/>
        <v/>
      </c>
      <c r="S323" s="163" t="s">
        <v>88</v>
      </c>
      <c r="T323" s="164"/>
      <c r="U323" s="168"/>
      <c r="V323" s="30"/>
      <c r="W323" s="30"/>
      <c r="X323" s="30"/>
      <c r="Y323" s="30"/>
      <c r="Z323" s="163" t="s">
        <v>88</v>
      </c>
      <c r="AA323" s="164"/>
      <c r="AB323" s="169"/>
      <c r="AC323" s="37"/>
      <c r="AD323" s="41"/>
      <c r="AE323" s="41"/>
      <c r="AF323" s="41"/>
    </row>
    <row r="324" spans="1:32" ht="16" customHeight="1" thickBot="1" x14ac:dyDescent="0.25">
      <c r="A324" s="37"/>
      <c r="B324" s="174"/>
      <c r="C324" s="175"/>
      <c r="D324" s="84"/>
      <c r="E324" s="43"/>
      <c r="F324" s="43"/>
      <c r="G324" s="53"/>
      <c r="H324" s="43"/>
      <c r="I324" s="43"/>
      <c r="J324" s="71"/>
      <c r="K324" s="52" t="str">
        <f t="shared" si="65"/>
        <v/>
      </c>
      <c r="L324" s="163"/>
      <c r="M324" s="164"/>
      <c r="N324" s="164"/>
      <c r="O324" s="165" t="s">
        <v>111</v>
      </c>
      <c r="P324" s="166"/>
      <c r="Q324" s="166"/>
      <c r="R324" s="167"/>
      <c r="S324" s="163"/>
      <c r="T324" s="164"/>
      <c r="U324" s="168"/>
      <c r="V324" s="30"/>
      <c r="W324" s="30"/>
      <c r="X324" s="30"/>
      <c r="Y324" s="30"/>
      <c r="Z324" s="163"/>
      <c r="AA324" s="164"/>
      <c r="AB324" s="169"/>
      <c r="AC324" s="37"/>
      <c r="AD324" s="41"/>
      <c r="AE324" s="41"/>
      <c r="AF324" s="41"/>
    </row>
    <row r="325" spans="1:32" ht="16" customHeight="1" x14ac:dyDescent="0.2">
      <c r="A325" s="37"/>
      <c r="B325" s="172">
        <f>B317+1</f>
        <v>6</v>
      </c>
      <c r="C325" s="173"/>
      <c r="D325" s="178">
        <f>D273+(B325-1)*7</f>
        <v>42689</v>
      </c>
      <c r="E325" s="179"/>
      <c r="F325" s="179"/>
      <c r="G325" s="179"/>
      <c r="H325" s="179"/>
      <c r="I325" s="179"/>
      <c r="J325" s="179"/>
      <c r="K325" s="179"/>
      <c r="L325" s="179"/>
      <c r="M325" s="179"/>
      <c r="N325" s="179"/>
      <c r="O325" s="178">
        <f>O273+(B325-1)*7</f>
        <v>42692</v>
      </c>
      <c r="P325" s="179"/>
      <c r="Q325" s="179"/>
      <c r="R325" s="179"/>
      <c r="S325" s="179"/>
      <c r="T325" s="179"/>
      <c r="U325" s="180"/>
      <c r="V325" s="179">
        <f>V273+(B325-1)*7</f>
        <v>42694</v>
      </c>
      <c r="W325" s="179"/>
      <c r="X325" s="179"/>
      <c r="Y325" s="179"/>
      <c r="Z325" s="179"/>
      <c r="AA325" s="179"/>
      <c r="AB325" s="181"/>
      <c r="AC325" s="37"/>
      <c r="AD325" s="41"/>
      <c r="AE325" s="41"/>
      <c r="AF325" s="41"/>
    </row>
    <row r="326" spans="1:32" ht="16" customHeight="1" x14ac:dyDescent="0.2">
      <c r="A326" s="37"/>
      <c r="B326" s="174"/>
      <c r="C326" s="175"/>
      <c r="D326" s="182" t="s">
        <v>99</v>
      </c>
      <c r="E326" s="183"/>
      <c r="F326" s="183"/>
      <c r="G326" s="184"/>
      <c r="H326" s="185" t="s">
        <v>101</v>
      </c>
      <c r="I326" s="183"/>
      <c r="J326" s="183"/>
      <c r="K326" s="184"/>
      <c r="L326" s="183" t="s">
        <v>100</v>
      </c>
      <c r="M326" s="183"/>
      <c r="N326" s="183"/>
      <c r="O326" s="182" t="s">
        <v>99</v>
      </c>
      <c r="P326" s="183"/>
      <c r="Q326" s="183"/>
      <c r="R326" s="183"/>
      <c r="S326" s="185" t="s">
        <v>100</v>
      </c>
      <c r="T326" s="183"/>
      <c r="U326" s="186"/>
      <c r="V326" s="183" t="s">
        <v>99</v>
      </c>
      <c r="W326" s="183"/>
      <c r="X326" s="183"/>
      <c r="Y326" s="183"/>
      <c r="Z326" s="185" t="s">
        <v>100</v>
      </c>
      <c r="AA326" s="183"/>
      <c r="AB326" s="187"/>
      <c r="AC326" s="37"/>
      <c r="AD326" s="41"/>
      <c r="AE326" s="41"/>
      <c r="AF326" s="41"/>
    </row>
    <row r="327" spans="1:32" ht="16" customHeight="1" x14ac:dyDescent="0.2">
      <c r="A327" s="37"/>
      <c r="B327" s="174"/>
      <c r="C327" s="175"/>
      <c r="D327" s="188" t="s">
        <v>110</v>
      </c>
      <c r="E327" s="189"/>
      <c r="F327" s="189"/>
      <c r="G327" s="190"/>
      <c r="H327" s="43" t="s">
        <v>113</v>
      </c>
      <c r="I327" s="43" t="s">
        <v>114</v>
      </c>
      <c r="J327" s="71" t="s">
        <v>115</v>
      </c>
      <c r="K327" s="53" t="s">
        <v>116</v>
      </c>
      <c r="L327" s="74" t="s">
        <v>96</v>
      </c>
      <c r="M327" s="191"/>
      <c r="N327" s="191"/>
      <c r="O327" s="188" t="s">
        <v>110</v>
      </c>
      <c r="P327" s="189"/>
      <c r="Q327" s="189"/>
      <c r="R327" s="189"/>
      <c r="S327" s="77" t="s">
        <v>96</v>
      </c>
      <c r="T327" s="191"/>
      <c r="U327" s="192"/>
      <c r="V327" s="189" t="s">
        <v>110</v>
      </c>
      <c r="W327" s="189"/>
      <c r="X327" s="189"/>
      <c r="Y327" s="189"/>
      <c r="Z327" s="77" t="s">
        <v>96</v>
      </c>
      <c r="AA327" s="191"/>
      <c r="AB327" s="193"/>
      <c r="AC327" s="37"/>
      <c r="AD327" s="41"/>
      <c r="AE327" s="41"/>
      <c r="AF327" s="41"/>
    </row>
    <row r="328" spans="1:32" ht="16" customHeight="1" x14ac:dyDescent="0.2">
      <c r="A328" s="37"/>
      <c r="B328" s="174"/>
      <c r="C328" s="175"/>
      <c r="D328" s="82" t="s">
        <v>53</v>
      </c>
      <c r="E328" s="41" t="s">
        <v>54</v>
      </c>
      <c r="F328" s="41" t="s">
        <v>90</v>
      </c>
      <c r="G328" s="53" t="s">
        <v>55</v>
      </c>
      <c r="H328" s="43" t="s">
        <v>102</v>
      </c>
      <c r="I328" s="43">
        <f>F329</f>
        <v>3.3135609567901229E-3</v>
      </c>
      <c r="J328" s="71"/>
      <c r="K328" s="52" t="str">
        <f>IF(J328="","",ABS(I328-J328))</f>
        <v/>
      </c>
      <c r="L328" s="75" t="s">
        <v>97</v>
      </c>
      <c r="M328" s="164"/>
      <c r="N328" s="164"/>
      <c r="O328" s="82" t="s">
        <v>54</v>
      </c>
      <c r="P328" s="41" t="s">
        <v>65</v>
      </c>
      <c r="Q328" s="67" t="s">
        <v>117</v>
      </c>
      <c r="R328" s="41" t="s">
        <v>116</v>
      </c>
      <c r="S328" s="78" t="s">
        <v>97</v>
      </c>
      <c r="T328" s="164"/>
      <c r="U328" s="168"/>
      <c r="V328" s="41" t="s">
        <v>54</v>
      </c>
      <c r="W328" s="41" t="s">
        <v>65</v>
      </c>
      <c r="X328" s="67" t="s">
        <v>117</v>
      </c>
      <c r="Y328" s="41" t="s">
        <v>116</v>
      </c>
      <c r="Z328" s="78" t="s">
        <v>97</v>
      </c>
      <c r="AA328" s="164"/>
      <c r="AB328" s="169"/>
      <c r="AC328" s="37"/>
      <c r="AD328" s="41"/>
      <c r="AE328" s="41"/>
      <c r="AF328" s="41"/>
    </row>
    <row r="329" spans="1:32" ht="16" customHeight="1" x14ac:dyDescent="0.2">
      <c r="A329" s="37"/>
      <c r="B329" s="174"/>
      <c r="C329" s="175"/>
      <c r="D329" s="82" t="s">
        <v>59</v>
      </c>
      <c r="E329" s="41">
        <v>1200</v>
      </c>
      <c r="F329" s="43">
        <f>L269</f>
        <v>3.3135609567901229E-3</v>
      </c>
      <c r="G329" s="53" t="s">
        <v>145</v>
      </c>
      <c r="H329" s="43" t="s">
        <v>103</v>
      </c>
      <c r="I329" s="43">
        <f>I328</f>
        <v>3.3135609567901229E-3</v>
      </c>
      <c r="J329" s="71"/>
      <c r="K329" s="52" t="str">
        <f t="shared" ref="K329:K334" si="67">IF(J329="","",ABS(I329-J329))</f>
        <v/>
      </c>
      <c r="L329" s="75" t="s">
        <v>98</v>
      </c>
      <c r="M329" s="164"/>
      <c r="N329" s="164"/>
      <c r="O329" s="82" t="s">
        <v>122</v>
      </c>
      <c r="P329" s="43">
        <f>S272</f>
        <v>3.7268518518518519E-3</v>
      </c>
      <c r="Q329" s="71"/>
      <c r="R329" s="76" t="str">
        <f>IF(Q329="","",ABS(P329-Q329))</f>
        <v/>
      </c>
      <c r="S329" s="78" t="s">
        <v>98</v>
      </c>
      <c r="T329" s="164"/>
      <c r="U329" s="168"/>
      <c r="V329" s="41" t="s">
        <v>139</v>
      </c>
      <c r="W329" s="43">
        <f>Z270+13/86400</f>
        <v>3.354552469135802E-3</v>
      </c>
      <c r="X329" s="71"/>
      <c r="Y329" s="52" t="str">
        <f>IF(X329="","",ABS(W329-X329))</f>
        <v/>
      </c>
      <c r="Z329" s="78" t="s">
        <v>98</v>
      </c>
      <c r="AA329" s="164"/>
      <c r="AB329" s="169"/>
      <c r="AC329" s="37"/>
      <c r="AD329" s="41"/>
      <c r="AE329" s="41"/>
      <c r="AF329" s="41"/>
    </row>
    <row r="330" spans="1:32" ht="16" customHeight="1" x14ac:dyDescent="0.2">
      <c r="A330" s="37"/>
      <c r="B330" s="174"/>
      <c r="C330" s="175"/>
      <c r="D330" s="82" t="s">
        <v>61</v>
      </c>
      <c r="E330" s="41">
        <v>800</v>
      </c>
      <c r="F330" s="43">
        <f>F271</f>
        <v>2.1566358024691359E-3</v>
      </c>
      <c r="G330" s="53" t="s">
        <v>145</v>
      </c>
      <c r="H330" s="43" t="s">
        <v>104</v>
      </c>
      <c r="I330" s="43">
        <f>F330</f>
        <v>2.1566358024691359E-3</v>
      </c>
      <c r="J330" s="71"/>
      <c r="K330" s="52" t="str">
        <f t="shared" si="67"/>
        <v/>
      </c>
      <c r="L330" s="170" t="s">
        <v>112</v>
      </c>
      <c r="M330" s="171"/>
      <c r="N330" s="90"/>
      <c r="O330" s="82" t="s">
        <v>118</v>
      </c>
      <c r="P330" s="43">
        <f>S270</f>
        <v>3.1481481481481482E-3</v>
      </c>
      <c r="Q330" s="71"/>
      <c r="R330" s="76" t="str">
        <f t="shared" ref="R330:R331" si="68">IF(Q330="","",ABS(P330-Q330))</f>
        <v/>
      </c>
      <c r="S330" s="170" t="s">
        <v>112</v>
      </c>
      <c r="T330" s="171"/>
      <c r="U330" s="83"/>
      <c r="V330" s="166" t="s">
        <v>111</v>
      </c>
      <c r="W330" s="166"/>
      <c r="X330" s="166"/>
      <c r="Y330" s="167"/>
      <c r="Z330" s="170" t="s">
        <v>112</v>
      </c>
      <c r="AA330" s="171"/>
      <c r="AB330" s="80"/>
      <c r="AC330" s="37"/>
      <c r="AD330" s="41"/>
      <c r="AE330" s="41"/>
      <c r="AF330" s="41"/>
    </row>
    <row r="331" spans="1:32" ht="16" customHeight="1" x14ac:dyDescent="0.2">
      <c r="A331" s="37"/>
      <c r="B331" s="174"/>
      <c r="C331" s="175"/>
      <c r="D331" s="165" t="s">
        <v>111</v>
      </c>
      <c r="E331" s="166"/>
      <c r="F331" s="166"/>
      <c r="G331" s="167"/>
      <c r="H331" s="43" t="s">
        <v>105</v>
      </c>
      <c r="I331" s="43">
        <f t="shared" ref="I331" si="69">I330</f>
        <v>2.1566358024691359E-3</v>
      </c>
      <c r="J331" s="71"/>
      <c r="K331" s="52" t="str">
        <f t="shared" si="67"/>
        <v/>
      </c>
      <c r="L331" s="163" t="s">
        <v>88</v>
      </c>
      <c r="M331" s="164"/>
      <c r="N331" s="164"/>
      <c r="O331" s="82" t="s">
        <v>122</v>
      </c>
      <c r="P331" s="43">
        <f>S272</f>
        <v>3.7268518518518519E-3</v>
      </c>
      <c r="Q331" s="71"/>
      <c r="R331" s="76" t="str">
        <f t="shared" si="68"/>
        <v/>
      </c>
      <c r="S331" s="163" t="s">
        <v>88</v>
      </c>
      <c r="T331" s="164"/>
      <c r="U331" s="168"/>
      <c r="V331" s="30"/>
      <c r="W331" s="30"/>
      <c r="X331" s="30"/>
      <c r="Y331" s="30"/>
      <c r="Z331" s="163" t="s">
        <v>88</v>
      </c>
      <c r="AA331" s="164"/>
      <c r="AB331" s="169"/>
      <c r="AC331" s="37"/>
      <c r="AD331" s="41"/>
      <c r="AE331" s="41"/>
      <c r="AF331" s="41"/>
    </row>
    <row r="332" spans="1:32" ht="16" customHeight="1" x14ac:dyDescent="0.2">
      <c r="A332" s="37"/>
      <c r="B332" s="174"/>
      <c r="C332" s="175"/>
      <c r="D332" s="82"/>
      <c r="E332" s="41"/>
      <c r="F332" s="43"/>
      <c r="G332" s="53"/>
      <c r="H332" s="43" t="s">
        <v>106</v>
      </c>
      <c r="I332" s="43">
        <f>I330</f>
        <v>2.1566358024691359E-3</v>
      </c>
      <c r="J332" s="71"/>
      <c r="K332" s="52" t="str">
        <f t="shared" ref="K332" si="70">IF(J332="","",ABS(I332-J332))</f>
        <v/>
      </c>
      <c r="L332" s="163"/>
      <c r="M332" s="164"/>
      <c r="N332" s="164"/>
      <c r="O332" s="82" t="s">
        <v>118</v>
      </c>
      <c r="P332" s="43">
        <f>P330</f>
        <v>3.1481481481481482E-3</v>
      </c>
      <c r="Q332" s="71"/>
      <c r="R332" s="76" t="str">
        <f t="shared" ref="R332:R333" si="71">IF(Q332="","",ABS(P332-Q332))</f>
        <v/>
      </c>
      <c r="S332" s="163"/>
      <c r="T332" s="164"/>
      <c r="U332" s="168"/>
      <c r="V332" s="30"/>
      <c r="W332" s="30"/>
      <c r="X332" s="30"/>
      <c r="Y332" s="30"/>
      <c r="Z332" s="163"/>
      <c r="AA332" s="164"/>
      <c r="AB332" s="169"/>
      <c r="AC332" s="37"/>
      <c r="AD332" s="41"/>
      <c r="AE332" s="41"/>
      <c r="AF332" s="41"/>
    </row>
    <row r="333" spans="1:32" ht="16" customHeight="1" x14ac:dyDescent="0.2">
      <c r="A333" s="37"/>
      <c r="B333" s="174"/>
      <c r="C333" s="175"/>
      <c r="D333" s="82"/>
      <c r="E333" s="41"/>
      <c r="F333" s="43"/>
      <c r="G333" s="53"/>
      <c r="H333" s="43" t="s">
        <v>107</v>
      </c>
      <c r="I333" s="43">
        <f>I331</f>
        <v>2.1566358024691359E-3</v>
      </c>
      <c r="J333" s="71"/>
      <c r="K333" s="52" t="str">
        <f t="shared" si="67"/>
        <v/>
      </c>
      <c r="L333" s="50"/>
      <c r="M333" s="41"/>
      <c r="N333" s="85"/>
      <c r="O333" s="82" t="s">
        <v>122</v>
      </c>
      <c r="P333" s="43">
        <f>S272</f>
        <v>3.7268518518518519E-3</v>
      </c>
      <c r="Q333" s="71"/>
      <c r="R333" s="76" t="str">
        <f t="shared" si="71"/>
        <v/>
      </c>
      <c r="S333" s="50"/>
      <c r="T333" s="41"/>
      <c r="U333" s="85"/>
      <c r="V333" s="30"/>
      <c r="W333" s="30"/>
      <c r="X333" s="30"/>
      <c r="Y333" s="30"/>
      <c r="Z333" s="50"/>
      <c r="AA333" s="41"/>
      <c r="AB333" s="35"/>
      <c r="AC333" s="37"/>
      <c r="AD333" s="41"/>
      <c r="AE333" s="41"/>
      <c r="AF333" s="41"/>
    </row>
    <row r="334" spans="1:32" ht="16" customHeight="1" thickBot="1" x14ac:dyDescent="0.25">
      <c r="A334" s="37"/>
      <c r="B334" s="174"/>
      <c r="C334" s="175"/>
      <c r="D334" s="82"/>
      <c r="E334" s="41"/>
      <c r="F334" s="43"/>
      <c r="G334" s="53"/>
      <c r="H334" s="43"/>
      <c r="I334" s="43"/>
      <c r="J334" s="43"/>
      <c r="K334" s="52" t="str">
        <f t="shared" si="67"/>
        <v/>
      </c>
      <c r="L334" s="41"/>
      <c r="M334" s="41"/>
      <c r="N334" s="30"/>
      <c r="O334" s="165" t="s">
        <v>111</v>
      </c>
      <c r="P334" s="166"/>
      <c r="Q334" s="166"/>
      <c r="R334" s="167"/>
      <c r="S334" s="50"/>
      <c r="T334" s="41"/>
      <c r="U334" s="85"/>
      <c r="V334" s="30"/>
      <c r="W334" s="30"/>
      <c r="X334" s="30"/>
      <c r="Y334" s="30"/>
      <c r="Z334" s="50"/>
      <c r="AA334" s="41"/>
      <c r="AB334" s="35"/>
      <c r="AC334" s="37"/>
      <c r="AD334" s="41"/>
      <c r="AE334" s="41"/>
      <c r="AF334" s="41"/>
    </row>
    <row r="335" spans="1:32" ht="16" customHeight="1" x14ac:dyDescent="0.2">
      <c r="A335" s="37"/>
      <c r="B335" s="172">
        <f>B325+1</f>
        <v>7</v>
      </c>
      <c r="C335" s="173"/>
      <c r="D335" s="178">
        <f>D273+(B335-1)*7</f>
        <v>42696</v>
      </c>
      <c r="E335" s="179"/>
      <c r="F335" s="179"/>
      <c r="G335" s="179"/>
      <c r="H335" s="179"/>
      <c r="I335" s="179"/>
      <c r="J335" s="179"/>
      <c r="K335" s="179"/>
      <c r="L335" s="179"/>
      <c r="M335" s="179"/>
      <c r="N335" s="179"/>
      <c r="O335" s="178">
        <f>O273+(B335-1)*7</f>
        <v>42699</v>
      </c>
      <c r="P335" s="179"/>
      <c r="Q335" s="179"/>
      <c r="R335" s="179"/>
      <c r="S335" s="179"/>
      <c r="T335" s="179"/>
      <c r="U335" s="180"/>
      <c r="V335" s="179">
        <f>V273+(B335-1)*7</f>
        <v>42701</v>
      </c>
      <c r="W335" s="179"/>
      <c r="X335" s="179"/>
      <c r="Y335" s="179"/>
      <c r="Z335" s="179"/>
      <c r="AA335" s="179"/>
      <c r="AB335" s="181"/>
      <c r="AC335" s="37"/>
      <c r="AD335" s="41"/>
      <c r="AE335" s="41"/>
      <c r="AF335" s="41"/>
    </row>
    <row r="336" spans="1:32" ht="16" customHeight="1" x14ac:dyDescent="0.2">
      <c r="A336" s="37"/>
      <c r="B336" s="174"/>
      <c r="C336" s="175"/>
      <c r="D336" s="182" t="s">
        <v>99</v>
      </c>
      <c r="E336" s="183"/>
      <c r="F336" s="183"/>
      <c r="G336" s="184"/>
      <c r="H336" s="185" t="s">
        <v>101</v>
      </c>
      <c r="I336" s="183"/>
      <c r="J336" s="183"/>
      <c r="K336" s="184"/>
      <c r="L336" s="183" t="s">
        <v>100</v>
      </c>
      <c r="M336" s="183"/>
      <c r="N336" s="183"/>
      <c r="O336" s="182" t="s">
        <v>99</v>
      </c>
      <c r="P336" s="183"/>
      <c r="Q336" s="183"/>
      <c r="R336" s="183"/>
      <c r="S336" s="185" t="s">
        <v>100</v>
      </c>
      <c r="T336" s="183"/>
      <c r="U336" s="186"/>
      <c r="V336" s="183" t="s">
        <v>99</v>
      </c>
      <c r="W336" s="183"/>
      <c r="X336" s="183"/>
      <c r="Y336" s="183"/>
      <c r="Z336" s="185" t="s">
        <v>100</v>
      </c>
      <c r="AA336" s="183"/>
      <c r="AB336" s="187"/>
      <c r="AC336" s="37"/>
      <c r="AD336" s="41"/>
      <c r="AE336" s="41"/>
      <c r="AF336" s="41"/>
    </row>
    <row r="337" spans="1:32" ht="16" customHeight="1" x14ac:dyDescent="0.2">
      <c r="A337" s="37"/>
      <c r="B337" s="174"/>
      <c r="C337" s="175"/>
      <c r="D337" s="188" t="s">
        <v>110</v>
      </c>
      <c r="E337" s="189"/>
      <c r="F337" s="189"/>
      <c r="G337" s="190"/>
      <c r="H337" s="43" t="s">
        <v>113</v>
      </c>
      <c r="I337" s="43" t="s">
        <v>114</v>
      </c>
      <c r="J337" s="71" t="s">
        <v>115</v>
      </c>
      <c r="K337" s="53" t="s">
        <v>116</v>
      </c>
      <c r="L337" s="74" t="s">
        <v>96</v>
      </c>
      <c r="M337" s="191"/>
      <c r="N337" s="191"/>
      <c r="O337" s="188" t="s">
        <v>110</v>
      </c>
      <c r="P337" s="189"/>
      <c r="Q337" s="189"/>
      <c r="R337" s="189"/>
      <c r="S337" s="77" t="s">
        <v>96</v>
      </c>
      <c r="T337" s="191"/>
      <c r="U337" s="192"/>
      <c r="V337" s="189" t="s">
        <v>110</v>
      </c>
      <c r="W337" s="189"/>
      <c r="X337" s="189"/>
      <c r="Y337" s="189"/>
      <c r="Z337" s="77" t="s">
        <v>96</v>
      </c>
      <c r="AA337" s="191"/>
      <c r="AB337" s="193"/>
      <c r="AC337" s="37"/>
      <c r="AD337" s="41"/>
      <c r="AE337" s="41"/>
      <c r="AF337" s="41"/>
    </row>
    <row r="338" spans="1:32" ht="16" customHeight="1" x14ac:dyDescent="0.2">
      <c r="A338" s="37"/>
      <c r="B338" s="174"/>
      <c r="C338" s="175"/>
      <c r="D338" s="82" t="s">
        <v>53</v>
      </c>
      <c r="E338" s="41" t="s">
        <v>54</v>
      </c>
      <c r="F338" s="41" t="s">
        <v>90</v>
      </c>
      <c r="G338" s="53" t="s">
        <v>55</v>
      </c>
      <c r="H338" s="43" t="s">
        <v>102</v>
      </c>
      <c r="I338" s="43">
        <f>F339</f>
        <v>2.1566358024691359E-3</v>
      </c>
      <c r="J338" s="71"/>
      <c r="K338" s="52" t="str">
        <f>IF(J338="","",ABS(I338-J338))</f>
        <v/>
      </c>
      <c r="L338" s="75" t="s">
        <v>97</v>
      </c>
      <c r="M338" s="164"/>
      <c r="N338" s="164"/>
      <c r="O338" s="82" t="s">
        <v>54</v>
      </c>
      <c r="P338" s="41" t="s">
        <v>65</v>
      </c>
      <c r="Q338" s="67" t="s">
        <v>117</v>
      </c>
      <c r="R338" s="41" t="s">
        <v>116</v>
      </c>
      <c r="S338" s="78" t="s">
        <v>97</v>
      </c>
      <c r="T338" s="164"/>
      <c r="U338" s="168"/>
      <c r="V338" s="41" t="s">
        <v>54</v>
      </c>
      <c r="W338" s="41" t="s">
        <v>65</v>
      </c>
      <c r="X338" s="67" t="s">
        <v>117</v>
      </c>
      <c r="Y338" s="41" t="s">
        <v>116</v>
      </c>
      <c r="Z338" s="78" t="s">
        <v>97</v>
      </c>
      <c r="AA338" s="164"/>
      <c r="AB338" s="169"/>
      <c r="AC338" s="37"/>
      <c r="AD338" s="41"/>
      <c r="AE338" s="41"/>
      <c r="AF338" s="41"/>
    </row>
    <row r="339" spans="1:32" ht="16" customHeight="1" x14ac:dyDescent="0.2">
      <c r="A339" s="37"/>
      <c r="B339" s="174"/>
      <c r="C339" s="175"/>
      <c r="D339" s="82" t="s">
        <v>63</v>
      </c>
      <c r="E339" s="41">
        <v>800</v>
      </c>
      <c r="F339" s="43">
        <f>F271</f>
        <v>2.1566358024691359E-3</v>
      </c>
      <c r="G339" s="53" t="s">
        <v>127</v>
      </c>
      <c r="H339" s="43" t="s">
        <v>103</v>
      </c>
      <c r="I339" s="43">
        <f>I338</f>
        <v>2.1566358024691359E-3</v>
      </c>
      <c r="J339" s="71"/>
      <c r="K339" s="52" t="str">
        <f t="shared" ref="K339:K343" si="72">IF(J339="","",ABS(I339-J339))</f>
        <v/>
      </c>
      <c r="L339" s="75" t="s">
        <v>98</v>
      </c>
      <c r="M339" s="164"/>
      <c r="N339" s="164"/>
      <c r="O339" s="82" t="s">
        <v>122</v>
      </c>
      <c r="P339" s="43">
        <f>S272</f>
        <v>3.7268518518518519E-3</v>
      </c>
      <c r="Q339" s="71"/>
      <c r="R339" s="76" t="str">
        <f>IF(Q339="","",ABS(P339-Q339))</f>
        <v/>
      </c>
      <c r="S339" s="78" t="s">
        <v>98</v>
      </c>
      <c r="T339" s="164"/>
      <c r="U339" s="168"/>
      <c r="V339" s="41" t="s">
        <v>146</v>
      </c>
      <c r="W339" s="43">
        <f>Z270+19/86400</f>
        <v>3.4239969135802465E-3</v>
      </c>
      <c r="X339" s="71"/>
      <c r="Y339" s="52" t="str">
        <f>IF(X339="","",ABS(W339-X339))</f>
        <v/>
      </c>
      <c r="Z339" s="78" t="s">
        <v>98</v>
      </c>
      <c r="AA339" s="164"/>
      <c r="AB339" s="169"/>
      <c r="AC339" s="37"/>
      <c r="AD339" s="41"/>
      <c r="AE339" s="41"/>
      <c r="AF339" s="41"/>
    </row>
    <row r="340" spans="1:32" ht="16" customHeight="1" x14ac:dyDescent="0.2">
      <c r="A340" s="37"/>
      <c r="B340" s="174"/>
      <c r="C340" s="175"/>
      <c r="D340" s="165" t="s">
        <v>111</v>
      </c>
      <c r="E340" s="166"/>
      <c r="F340" s="166"/>
      <c r="G340" s="167"/>
      <c r="H340" s="43" t="s">
        <v>104</v>
      </c>
      <c r="I340" s="43">
        <f t="shared" ref="I340:I343" si="73">I339</f>
        <v>2.1566358024691359E-3</v>
      </c>
      <c r="J340" s="71"/>
      <c r="K340" s="52" t="str">
        <f t="shared" si="72"/>
        <v/>
      </c>
      <c r="L340" s="170" t="s">
        <v>112</v>
      </c>
      <c r="M340" s="171"/>
      <c r="N340" s="90"/>
      <c r="O340" s="82" t="s">
        <v>119</v>
      </c>
      <c r="P340" s="43">
        <f>S270</f>
        <v>3.1481481481481482E-3</v>
      </c>
      <c r="Q340" s="71"/>
      <c r="R340" s="76" t="str">
        <f t="shared" ref="R340:R341" si="74">IF(Q340="","",ABS(P340-Q340))</f>
        <v/>
      </c>
      <c r="S340" s="170" t="s">
        <v>112</v>
      </c>
      <c r="T340" s="171"/>
      <c r="U340" s="83"/>
      <c r="V340" s="166" t="s">
        <v>111</v>
      </c>
      <c r="W340" s="166"/>
      <c r="X340" s="166"/>
      <c r="Y340" s="167"/>
      <c r="Z340" s="170" t="s">
        <v>112</v>
      </c>
      <c r="AA340" s="171"/>
      <c r="AB340" s="80"/>
      <c r="AC340" s="37"/>
      <c r="AD340" s="41"/>
      <c r="AE340" s="41"/>
      <c r="AF340" s="41"/>
    </row>
    <row r="341" spans="1:32" ht="16" customHeight="1" x14ac:dyDescent="0.2">
      <c r="A341" s="37"/>
      <c r="B341" s="174"/>
      <c r="C341" s="175"/>
      <c r="D341" s="82"/>
      <c r="E341" s="41"/>
      <c r="F341" s="43"/>
      <c r="G341" s="53"/>
      <c r="H341" s="43" t="s">
        <v>105</v>
      </c>
      <c r="I341" s="43">
        <f t="shared" si="73"/>
        <v>2.1566358024691359E-3</v>
      </c>
      <c r="J341" s="71"/>
      <c r="K341" s="52" t="str">
        <f t="shared" si="72"/>
        <v/>
      </c>
      <c r="L341" s="163" t="s">
        <v>88</v>
      </c>
      <c r="M341" s="164"/>
      <c r="N341" s="164"/>
      <c r="O341" s="82" t="s">
        <v>122</v>
      </c>
      <c r="P341" s="43">
        <f>S272</f>
        <v>3.7268518518518519E-3</v>
      </c>
      <c r="Q341" s="71"/>
      <c r="R341" s="76" t="str">
        <f t="shared" si="74"/>
        <v/>
      </c>
      <c r="S341" s="163" t="s">
        <v>88</v>
      </c>
      <c r="T341" s="164"/>
      <c r="U341" s="168"/>
      <c r="V341" s="30"/>
      <c r="W341" s="30"/>
      <c r="X341" s="30"/>
      <c r="Y341" s="30"/>
      <c r="Z341" s="163" t="s">
        <v>88</v>
      </c>
      <c r="AA341" s="164"/>
      <c r="AB341" s="169"/>
      <c r="AC341" s="37"/>
      <c r="AD341" s="41"/>
      <c r="AE341" s="41"/>
      <c r="AF341" s="41"/>
    </row>
    <row r="342" spans="1:32" ht="16" customHeight="1" x14ac:dyDescent="0.2">
      <c r="A342" s="37"/>
      <c r="B342" s="174"/>
      <c r="C342" s="175"/>
      <c r="D342" s="82"/>
      <c r="E342" s="41"/>
      <c r="F342" s="43"/>
      <c r="G342" s="53"/>
      <c r="H342" s="43" t="s">
        <v>106</v>
      </c>
      <c r="I342" s="43">
        <f t="shared" si="73"/>
        <v>2.1566358024691359E-3</v>
      </c>
      <c r="J342" s="71"/>
      <c r="K342" s="52" t="str">
        <f t="shared" si="72"/>
        <v/>
      </c>
      <c r="L342" s="163"/>
      <c r="M342" s="164"/>
      <c r="N342" s="164"/>
      <c r="O342" s="165" t="s">
        <v>111</v>
      </c>
      <c r="P342" s="166"/>
      <c r="Q342" s="166"/>
      <c r="R342" s="166"/>
      <c r="S342" s="163"/>
      <c r="T342" s="164"/>
      <c r="U342" s="168"/>
      <c r="V342" s="30"/>
      <c r="W342" s="30"/>
      <c r="X342" s="30"/>
      <c r="Y342" s="30"/>
      <c r="Z342" s="163"/>
      <c r="AA342" s="164"/>
      <c r="AB342" s="169"/>
      <c r="AC342" s="37"/>
      <c r="AD342" s="41"/>
      <c r="AE342" s="41"/>
      <c r="AF342" s="41"/>
    </row>
    <row r="343" spans="1:32" ht="16" customHeight="1" thickBot="1" x14ac:dyDescent="0.25">
      <c r="A343" s="37"/>
      <c r="B343" s="174"/>
      <c r="C343" s="175"/>
      <c r="D343" s="82"/>
      <c r="E343" s="41"/>
      <c r="F343" s="43"/>
      <c r="G343" s="53"/>
      <c r="H343" s="43" t="s">
        <v>107</v>
      </c>
      <c r="I343" s="43">
        <f t="shared" si="73"/>
        <v>2.1566358024691359E-3</v>
      </c>
      <c r="J343" s="71"/>
      <c r="K343" s="52" t="str">
        <f t="shared" si="72"/>
        <v/>
      </c>
      <c r="L343" s="41"/>
      <c r="M343" s="41"/>
      <c r="N343" s="30"/>
      <c r="O343" s="82"/>
      <c r="P343" s="43"/>
      <c r="Q343" s="43"/>
      <c r="R343" s="52"/>
      <c r="S343" s="50"/>
      <c r="T343" s="41"/>
      <c r="U343" s="85"/>
      <c r="V343" s="30"/>
      <c r="W343" s="30"/>
      <c r="X343" s="30"/>
      <c r="Y343" s="30"/>
      <c r="Z343" s="50"/>
      <c r="AA343" s="41"/>
      <c r="AB343" s="35"/>
      <c r="AC343" s="37"/>
      <c r="AD343" s="41"/>
      <c r="AE343" s="41"/>
      <c r="AF343" s="41"/>
    </row>
    <row r="344" spans="1:32" ht="16" customHeight="1" x14ac:dyDescent="0.2">
      <c r="A344" s="37"/>
      <c r="B344" s="172">
        <f>B335+1</f>
        <v>8</v>
      </c>
      <c r="C344" s="173"/>
      <c r="D344" s="178">
        <f>D273+(B344-1)*7</f>
        <v>42703</v>
      </c>
      <c r="E344" s="179"/>
      <c r="F344" s="179"/>
      <c r="G344" s="179"/>
      <c r="H344" s="179"/>
      <c r="I344" s="179"/>
      <c r="J344" s="179"/>
      <c r="K344" s="179"/>
      <c r="L344" s="179"/>
      <c r="M344" s="179"/>
      <c r="N344" s="179"/>
      <c r="O344" s="178">
        <f>O273+(B344-1)*7</f>
        <v>42706</v>
      </c>
      <c r="P344" s="179"/>
      <c r="Q344" s="179"/>
      <c r="R344" s="179"/>
      <c r="S344" s="179"/>
      <c r="T344" s="179"/>
      <c r="U344" s="180"/>
      <c r="V344" s="179">
        <f>V273+(B344-1)*7</f>
        <v>42708</v>
      </c>
      <c r="W344" s="179"/>
      <c r="X344" s="179"/>
      <c r="Y344" s="179"/>
      <c r="Z344" s="179"/>
      <c r="AA344" s="179"/>
      <c r="AB344" s="181"/>
      <c r="AC344" s="37"/>
      <c r="AD344" s="41"/>
      <c r="AE344" s="41"/>
      <c r="AF344" s="41"/>
    </row>
    <row r="345" spans="1:32" ht="16" customHeight="1" x14ac:dyDescent="0.2">
      <c r="A345" s="37"/>
      <c r="B345" s="174"/>
      <c r="C345" s="175"/>
      <c r="D345" s="182" t="s">
        <v>99</v>
      </c>
      <c r="E345" s="183"/>
      <c r="F345" s="183"/>
      <c r="G345" s="184"/>
      <c r="H345" s="185" t="s">
        <v>101</v>
      </c>
      <c r="I345" s="183"/>
      <c r="J345" s="183"/>
      <c r="K345" s="184"/>
      <c r="L345" s="183" t="s">
        <v>100</v>
      </c>
      <c r="M345" s="183"/>
      <c r="N345" s="183"/>
      <c r="O345" s="182" t="s">
        <v>99</v>
      </c>
      <c r="P345" s="183"/>
      <c r="Q345" s="183"/>
      <c r="R345" s="183"/>
      <c r="S345" s="185" t="s">
        <v>100</v>
      </c>
      <c r="T345" s="183"/>
      <c r="U345" s="186"/>
      <c r="V345" s="183" t="s">
        <v>99</v>
      </c>
      <c r="W345" s="183"/>
      <c r="X345" s="183"/>
      <c r="Y345" s="183"/>
      <c r="Z345" s="185" t="s">
        <v>100</v>
      </c>
      <c r="AA345" s="183"/>
      <c r="AB345" s="187"/>
      <c r="AC345" s="104"/>
      <c r="AD345" s="30"/>
      <c r="AE345" s="41"/>
      <c r="AF345" s="41"/>
    </row>
    <row r="346" spans="1:32" ht="16" customHeight="1" x14ac:dyDescent="0.2">
      <c r="A346" s="37"/>
      <c r="B346" s="174"/>
      <c r="C346" s="175"/>
      <c r="D346" s="188" t="s">
        <v>110</v>
      </c>
      <c r="E346" s="189"/>
      <c r="F346" s="189"/>
      <c r="G346" s="190"/>
      <c r="H346" s="43" t="s">
        <v>113</v>
      </c>
      <c r="I346" s="43" t="s">
        <v>114</v>
      </c>
      <c r="J346" s="71" t="s">
        <v>115</v>
      </c>
      <c r="K346" s="53" t="s">
        <v>116</v>
      </c>
      <c r="L346" s="74" t="s">
        <v>96</v>
      </c>
      <c r="M346" s="191"/>
      <c r="N346" s="191"/>
      <c r="O346" s="188" t="s">
        <v>110</v>
      </c>
      <c r="P346" s="189"/>
      <c r="Q346" s="189"/>
      <c r="R346" s="189"/>
      <c r="S346" s="77" t="s">
        <v>96</v>
      </c>
      <c r="T346" s="191"/>
      <c r="U346" s="192"/>
      <c r="V346" s="189" t="s">
        <v>110</v>
      </c>
      <c r="W346" s="189"/>
      <c r="X346" s="189"/>
      <c r="Y346" s="189"/>
      <c r="Z346" s="77" t="s">
        <v>96</v>
      </c>
      <c r="AA346" s="191"/>
      <c r="AB346" s="193"/>
      <c r="AC346" s="37"/>
      <c r="AD346" s="41"/>
      <c r="AE346" s="41"/>
      <c r="AF346" s="41"/>
    </row>
    <row r="347" spans="1:32" ht="16" customHeight="1" x14ac:dyDescent="0.2">
      <c r="A347" s="37"/>
      <c r="B347" s="174"/>
      <c r="C347" s="175"/>
      <c r="D347" s="82" t="s">
        <v>53</v>
      </c>
      <c r="E347" s="41" t="s">
        <v>54</v>
      </c>
      <c r="F347" s="41" t="s">
        <v>90</v>
      </c>
      <c r="G347" s="53" t="s">
        <v>55</v>
      </c>
      <c r="H347" s="43" t="s">
        <v>102</v>
      </c>
      <c r="I347" s="43">
        <f>F349</f>
        <v>1.0551697530864197E-3</v>
      </c>
      <c r="J347" s="71"/>
      <c r="K347" s="52" t="str">
        <f>IF(J347="","",ABS(I347-J347))</f>
        <v/>
      </c>
      <c r="L347" s="75" t="s">
        <v>97</v>
      </c>
      <c r="M347" s="164"/>
      <c r="N347" s="164"/>
      <c r="O347" s="82" t="s">
        <v>54</v>
      </c>
      <c r="P347" s="41" t="s">
        <v>65</v>
      </c>
      <c r="Q347" s="67" t="s">
        <v>117</v>
      </c>
      <c r="R347" s="41" t="s">
        <v>116</v>
      </c>
      <c r="S347" s="78" t="s">
        <v>97</v>
      </c>
      <c r="T347" s="164"/>
      <c r="U347" s="168"/>
      <c r="V347" s="41" t="s">
        <v>54</v>
      </c>
      <c r="W347" s="41" t="s">
        <v>65</v>
      </c>
      <c r="X347" s="67" t="s">
        <v>117</v>
      </c>
      <c r="Y347" s="41" t="s">
        <v>116</v>
      </c>
      <c r="Z347" s="78" t="s">
        <v>97</v>
      </c>
      <c r="AA347" s="164"/>
      <c r="AB347" s="169"/>
      <c r="AC347" s="37"/>
      <c r="AD347" s="41"/>
      <c r="AE347" s="41"/>
      <c r="AF347" s="41"/>
    </row>
    <row r="348" spans="1:32" ht="16" customHeight="1" x14ac:dyDescent="0.2">
      <c r="A348" s="37"/>
      <c r="B348" s="174"/>
      <c r="C348" s="175"/>
      <c r="D348" s="82" t="s">
        <v>59</v>
      </c>
      <c r="E348" s="166" t="s">
        <v>147</v>
      </c>
      <c r="F348" s="166"/>
      <c r="G348" s="53" t="s">
        <v>148</v>
      </c>
      <c r="H348" s="43" t="s">
        <v>103</v>
      </c>
      <c r="I348" s="43">
        <f>I347</f>
        <v>1.0551697530864197E-3</v>
      </c>
      <c r="J348" s="71"/>
      <c r="K348" s="52" t="str">
        <f t="shared" ref="K348:K358" si="75">IF(J348="","",ABS(I348-J348))</f>
        <v/>
      </c>
      <c r="L348" s="75" t="s">
        <v>98</v>
      </c>
      <c r="M348" s="164"/>
      <c r="N348" s="164"/>
      <c r="O348" s="82" t="s">
        <v>122</v>
      </c>
      <c r="P348" s="43">
        <f>S272</f>
        <v>3.7268518518518519E-3</v>
      </c>
      <c r="Q348" s="71"/>
      <c r="R348" s="76" t="str">
        <f>IF(Q348="","",ABS(P348-Q348))</f>
        <v/>
      </c>
      <c r="S348" s="78" t="s">
        <v>98</v>
      </c>
      <c r="T348" s="164"/>
      <c r="U348" s="168"/>
      <c r="V348" s="41" t="s">
        <v>143</v>
      </c>
      <c r="W348" s="43">
        <f>Z270+13/86400</f>
        <v>3.354552469135802E-3</v>
      </c>
      <c r="X348" s="71"/>
      <c r="Y348" s="52" t="str">
        <f>IF(X348="","",ABS(W348-X348))</f>
        <v/>
      </c>
      <c r="Z348" s="78" t="s">
        <v>98</v>
      </c>
      <c r="AA348" s="164"/>
      <c r="AB348" s="169"/>
      <c r="AC348" s="37"/>
      <c r="AD348" s="41"/>
      <c r="AE348" s="41"/>
      <c r="AF348" s="41"/>
    </row>
    <row r="349" spans="1:32" ht="16" customHeight="1" x14ac:dyDescent="0.2">
      <c r="A349" s="37"/>
      <c r="B349" s="174"/>
      <c r="C349" s="175"/>
      <c r="D349" s="82" t="s">
        <v>63</v>
      </c>
      <c r="E349" s="41">
        <v>400</v>
      </c>
      <c r="F349" s="43">
        <f>F269</f>
        <v>1.0551697530864197E-3</v>
      </c>
      <c r="G349" s="53" t="s">
        <v>127</v>
      </c>
      <c r="H349" s="43" t="s">
        <v>104</v>
      </c>
      <c r="I349" s="43">
        <f t="shared" ref="I349:I358" si="76">I348</f>
        <v>1.0551697530864197E-3</v>
      </c>
      <c r="J349" s="71"/>
      <c r="K349" s="52" t="str">
        <f t="shared" si="75"/>
        <v/>
      </c>
      <c r="L349" s="170" t="s">
        <v>112</v>
      </c>
      <c r="M349" s="171"/>
      <c r="N349" s="90"/>
      <c r="O349" s="82" t="s">
        <v>118</v>
      </c>
      <c r="P349" s="43">
        <f>S270</f>
        <v>3.1481481481481482E-3</v>
      </c>
      <c r="Q349" s="71"/>
      <c r="R349" s="76" t="str">
        <f t="shared" ref="R349:R352" si="77">IF(Q349="","",ABS(P349-Q349))</f>
        <v/>
      </c>
      <c r="S349" s="170" t="s">
        <v>112</v>
      </c>
      <c r="T349" s="171"/>
      <c r="U349" s="83"/>
      <c r="V349" s="166" t="s">
        <v>111</v>
      </c>
      <c r="W349" s="166"/>
      <c r="X349" s="166"/>
      <c r="Y349" s="167"/>
      <c r="Z349" s="170" t="s">
        <v>112</v>
      </c>
      <c r="AA349" s="171"/>
      <c r="AB349" s="80"/>
      <c r="AC349" s="37"/>
      <c r="AD349" s="41"/>
      <c r="AE349" s="41"/>
      <c r="AF349" s="41"/>
    </row>
    <row r="350" spans="1:32" ht="16" customHeight="1" x14ac:dyDescent="0.2">
      <c r="A350" s="37"/>
      <c r="B350" s="174"/>
      <c r="C350" s="175"/>
      <c r="D350" s="165" t="s">
        <v>111</v>
      </c>
      <c r="E350" s="166"/>
      <c r="F350" s="166"/>
      <c r="G350" s="167"/>
      <c r="H350" s="43" t="s">
        <v>105</v>
      </c>
      <c r="I350" s="43">
        <f t="shared" si="76"/>
        <v>1.0551697530864197E-3</v>
      </c>
      <c r="J350" s="71"/>
      <c r="K350" s="52" t="str">
        <f t="shared" si="75"/>
        <v/>
      </c>
      <c r="L350" s="163" t="s">
        <v>88</v>
      </c>
      <c r="M350" s="164"/>
      <c r="N350" s="164"/>
      <c r="O350" s="82" t="s">
        <v>122</v>
      </c>
      <c r="P350" s="43">
        <f>S272</f>
        <v>3.7268518518518519E-3</v>
      </c>
      <c r="Q350" s="71"/>
      <c r="R350" s="76" t="str">
        <f t="shared" si="77"/>
        <v/>
      </c>
      <c r="S350" s="163" t="s">
        <v>88</v>
      </c>
      <c r="T350" s="164"/>
      <c r="U350" s="168"/>
      <c r="V350" s="30"/>
      <c r="W350" s="30"/>
      <c r="X350" s="30"/>
      <c r="Y350" s="30"/>
      <c r="Z350" s="163" t="s">
        <v>88</v>
      </c>
      <c r="AA350" s="164"/>
      <c r="AB350" s="169"/>
      <c r="AC350" s="37"/>
      <c r="AD350" s="41"/>
      <c r="AE350" s="41"/>
      <c r="AF350" s="41"/>
    </row>
    <row r="351" spans="1:32" ht="16" customHeight="1" x14ac:dyDescent="0.2">
      <c r="A351" s="37"/>
      <c r="B351" s="174"/>
      <c r="C351" s="175"/>
      <c r="D351" s="84"/>
      <c r="E351" s="43"/>
      <c r="F351" s="43"/>
      <c r="G351" s="53"/>
      <c r="H351" s="43" t="s">
        <v>106</v>
      </c>
      <c r="I351" s="43">
        <f t="shared" si="76"/>
        <v>1.0551697530864197E-3</v>
      </c>
      <c r="J351" s="71"/>
      <c r="K351" s="52" t="str">
        <f t="shared" si="75"/>
        <v/>
      </c>
      <c r="L351" s="163"/>
      <c r="M351" s="164"/>
      <c r="N351" s="164"/>
      <c r="O351" s="82" t="s">
        <v>118</v>
      </c>
      <c r="P351" s="43">
        <f>P349</f>
        <v>3.1481481481481482E-3</v>
      </c>
      <c r="Q351" s="71"/>
      <c r="R351" s="76" t="str">
        <f t="shared" si="77"/>
        <v/>
      </c>
      <c r="S351" s="163"/>
      <c r="T351" s="164"/>
      <c r="U351" s="168"/>
      <c r="V351" s="30"/>
      <c r="W351" s="30"/>
      <c r="X351" s="30"/>
      <c r="Y351" s="30"/>
      <c r="Z351" s="163"/>
      <c r="AA351" s="164"/>
      <c r="AB351" s="169"/>
      <c r="AC351" s="37"/>
      <c r="AD351" s="41"/>
      <c r="AE351" s="41"/>
      <c r="AF351" s="41"/>
    </row>
    <row r="352" spans="1:32" ht="16" customHeight="1" x14ac:dyDescent="0.2">
      <c r="A352" s="37"/>
      <c r="B352" s="174"/>
      <c r="C352" s="175"/>
      <c r="D352" s="84"/>
      <c r="E352" s="43"/>
      <c r="F352" s="43"/>
      <c r="G352" s="53"/>
      <c r="H352" s="43" t="s">
        <v>107</v>
      </c>
      <c r="I352" s="43">
        <f t="shared" si="76"/>
        <v>1.0551697530864197E-3</v>
      </c>
      <c r="J352" s="71"/>
      <c r="K352" s="52" t="str">
        <f t="shared" si="75"/>
        <v/>
      </c>
      <c r="L352" s="41"/>
      <c r="M352" s="41"/>
      <c r="N352" s="30"/>
      <c r="O352" s="82" t="s">
        <v>122</v>
      </c>
      <c r="P352" s="43">
        <f>S272</f>
        <v>3.7268518518518519E-3</v>
      </c>
      <c r="Q352" s="71"/>
      <c r="R352" s="76" t="str">
        <f t="shared" si="77"/>
        <v/>
      </c>
      <c r="S352" s="50"/>
      <c r="T352" s="41"/>
      <c r="U352" s="85"/>
      <c r="V352" s="30"/>
      <c r="W352" s="30"/>
      <c r="X352" s="30"/>
      <c r="Y352" s="30"/>
      <c r="Z352" s="50"/>
      <c r="AA352" s="41"/>
      <c r="AB352" s="35"/>
      <c r="AC352" s="37"/>
      <c r="AD352" s="41"/>
      <c r="AE352" s="41"/>
      <c r="AF352" s="41"/>
    </row>
    <row r="353" spans="1:32" ht="16" customHeight="1" x14ac:dyDescent="0.2">
      <c r="A353" s="37"/>
      <c r="B353" s="174"/>
      <c r="C353" s="175"/>
      <c r="D353" s="84"/>
      <c r="E353" s="43"/>
      <c r="F353" s="43"/>
      <c r="G353" s="53"/>
      <c r="H353" s="43" t="s">
        <v>108</v>
      </c>
      <c r="I353" s="43">
        <f t="shared" si="76"/>
        <v>1.0551697530864197E-3</v>
      </c>
      <c r="J353" s="71"/>
      <c r="K353" s="52" t="str">
        <f t="shared" si="75"/>
        <v/>
      </c>
      <c r="L353" s="41"/>
      <c r="M353" s="41"/>
      <c r="N353" s="41"/>
      <c r="O353" s="165" t="s">
        <v>111</v>
      </c>
      <c r="P353" s="166"/>
      <c r="Q353" s="166"/>
      <c r="R353" s="167"/>
      <c r="S353" s="50"/>
      <c r="T353" s="41"/>
      <c r="U353" s="85"/>
      <c r="V353" s="30"/>
      <c r="W353" s="30"/>
      <c r="X353" s="30"/>
      <c r="Y353" s="30"/>
      <c r="Z353" s="50"/>
      <c r="AA353" s="41"/>
      <c r="AB353" s="44"/>
      <c r="AC353" s="37"/>
      <c r="AD353" s="41"/>
      <c r="AE353" s="41"/>
      <c r="AF353" s="41"/>
    </row>
    <row r="354" spans="1:32" ht="16" customHeight="1" x14ac:dyDescent="0.2">
      <c r="A354" s="37"/>
      <c r="B354" s="174"/>
      <c r="C354" s="175"/>
      <c r="D354" s="84"/>
      <c r="E354" s="43"/>
      <c r="F354" s="43"/>
      <c r="G354" s="53"/>
      <c r="H354" s="43" t="s">
        <v>109</v>
      </c>
      <c r="I354" s="43">
        <f t="shared" si="76"/>
        <v>1.0551697530864197E-3</v>
      </c>
      <c r="J354" s="71"/>
      <c r="K354" s="52" t="str">
        <f t="shared" si="75"/>
        <v/>
      </c>
      <c r="L354" s="41"/>
      <c r="M354" s="41"/>
      <c r="N354" s="30"/>
      <c r="O354" s="82"/>
      <c r="P354" s="41"/>
      <c r="Q354" s="41"/>
      <c r="R354" s="41"/>
      <c r="S354" s="50"/>
      <c r="T354" s="41"/>
      <c r="U354" s="85"/>
      <c r="V354" s="30"/>
      <c r="W354" s="30"/>
      <c r="X354" s="30"/>
      <c r="Y354" s="30"/>
      <c r="Z354" s="50"/>
      <c r="AA354" s="41"/>
      <c r="AB354" s="35"/>
      <c r="AC354" s="37"/>
      <c r="AD354" s="41"/>
      <c r="AE354" s="41"/>
      <c r="AF354" s="41"/>
    </row>
    <row r="355" spans="1:32" ht="16" customHeight="1" x14ac:dyDescent="0.2">
      <c r="A355" s="37"/>
      <c r="B355" s="174"/>
      <c r="C355" s="175"/>
      <c r="D355" s="84"/>
      <c r="E355" s="43"/>
      <c r="F355" s="43"/>
      <c r="G355" s="53"/>
      <c r="H355" s="43" t="s">
        <v>125</v>
      </c>
      <c r="I355" s="43">
        <f t="shared" si="76"/>
        <v>1.0551697530864197E-3</v>
      </c>
      <c r="J355" s="71"/>
      <c r="K355" s="52" t="str">
        <f t="shared" si="75"/>
        <v/>
      </c>
      <c r="L355" s="41"/>
      <c r="M355" s="41"/>
      <c r="N355" s="41"/>
      <c r="O355" s="82"/>
      <c r="P355" s="41"/>
      <c r="Q355" s="41"/>
      <c r="R355" s="41"/>
      <c r="S355" s="50"/>
      <c r="T355" s="41"/>
      <c r="U355" s="86"/>
      <c r="V355" s="30"/>
      <c r="W355" s="30"/>
      <c r="X355" s="30"/>
      <c r="Y355" s="30"/>
      <c r="Z355" s="50"/>
      <c r="AA355" s="41"/>
      <c r="AB355" s="44"/>
      <c r="AC355" s="37"/>
      <c r="AD355" s="41"/>
      <c r="AE355" s="41"/>
      <c r="AF355" s="41"/>
    </row>
    <row r="356" spans="1:32" ht="16" customHeight="1" x14ac:dyDescent="0.2">
      <c r="A356" s="37"/>
      <c r="B356" s="174"/>
      <c r="C356" s="175"/>
      <c r="D356" s="84"/>
      <c r="E356" s="43"/>
      <c r="F356" s="43"/>
      <c r="G356" s="53"/>
      <c r="H356" s="43" t="s">
        <v>126</v>
      </c>
      <c r="I356" s="43">
        <f t="shared" si="76"/>
        <v>1.0551697530864197E-3</v>
      </c>
      <c r="J356" s="71"/>
      <c r="K356" s="52" t="str">
        <f t="shared" si="75"/>
        <v/>
      </c>
      <c r="L356" s="41"/>
      <c r="M356" s="41"/>
      <c r="N356" s="30"/>
      <c r="O356" s="82"/>
      <c r="P356" s="41"/>
      <c r="Q356" s="41"/>
      <c r="R356" s="41"/>
      <c r="S356" s="50"/>
      <c r="T356" s="41"/>
      <c r="U356" s="85"/>
      <c r="V356" s="30"/>
      <c r="W356" s="30"/>
      <c r="X356" s="30"/>
      <c r="Y356" s="30"/>
      <c r="Z356" s="50"/>
      <c r="AA356" s="41"/>
      <c r="AB356" s="35"/>
      <c r="AC356" s="37"/>
      <c r="AD356" s="41"/>
      <c r="AE356" s="41"/>
      <c r="AF356" s="41"/>
    </row>
    <row r="357" spans="1:32" ht="16" customHeight="1" x14ac:dyDescent="0.2">
      <c r="A357" s="37"/>
      <c r="B357" s="174"/>
      <c r="C357" s="175"/>
      <c r="D357" s="84"/>
      <c r="E357" s="43"/>
      <c r="F357" s="43"/>
      <c r="G357" s="53"/>
      <c r="H357" s="43" t="s">
        <v>141</v>
      </c>
      <c r="I357" s="43">
        <f t="shared" si="76"/>
        <v>1.0551697530864197E-3</v>
      </c>
      <c r="J357" s="71"/>
      <c r="K357" s="52" t="str">
        <f t="shared" si="75"/>
        <v/>
      </c>
      <c r="L357" s="41"/>
      <c r="M357" s="41"/>
      <c r="N357" s="41"/>
      <c r="O357" s="82"/>
      <c r="P357" s="41"/>
      <c r="Q357" s="41"/>
      <c r="R357" s="41"/>
      <c r="S357" s="50"/>
      <c r="T357" s="41"/>
      <c r="U357" s="86"/>
      <c r="V357" s="30"/>
      <c r="W357" s="30"/>
      <c r="X357" s="30"/>
      <c r="Y357" s="30"/>
      <c r="Z357" s="50"/>
      <c r="AA357" s="41"/>
      <c r="AB357" s="44"/>
      <c r="AC357" s="37"/>
      <c r="AD357" s="41"/>
      <c r="AE357" s="41"/>
      <c r="AF357" s="41"/>
    </row>
    <row r="358" spans="1:32" ht="16" customHeight="1" thickBot="1" x14ac:dyDescent="0.25">
      <c r="A358" s="37"/>
      <c r="B358" s="198"/>
      <c r="C358" s="199"/>
      <c r="D358" s="87"/>
      <c r="E358" s="40"/>
      <c r="F358" s="40"/>
      <c r="G358" s="51"/>
      <c r="H358" s="43" t="s">
        <v>142</v>
      </c>
      <c r="I358" s="43">
        <f t="shared" si="76"/>
        <v>1.0551697530864197E-3</v>
      </c>
      <c r="J358" s="72"/>
      <c r="K358" s="52" t="str">
        <f t="shared" si="75"/>
        <v/>
      </c>
      <c r="L358" s="194"/>
      <c r="M358" s="195"/>
      <c r="N358" s="195"/>
      <c r="O358" s="97"/>
      <c r="P358" s="42"/>
      <c r="Q358" s="42"/>
      <c r="R358" s="42"/>
      <c r="S358" s="194"/>
      <c r="T358" s="195"/>
      <c r="U358" s="196"/>
      <c r="V358" s="34"/>
      <c r="W358" s="34"/>
      <c r="X358" s="34"/>
      <c r="Y358" s="34"/>
      <c r="Z358" s="194"/>
      <c r="AA358" s="195"/>
      <c r="AB358" s="197"/>
      <c r="AC358" s="37"/>
      <c r="AD358" s="41"/>
      <c r="AE358" s="41"/>
      <c r="AF358" s="41"/>
    </row>
    <row r="359" spans="1:32" ht="16" customHeight="1" x14ac:dyDescent="0.2">
      <c r="A359" s="37"/>
      <c r="B359" s="172">
        <f>B344+1</f>
        <v>9</v>
      </c>
      <c r="C359" s="173"/>
      <c r="D359" s="178">
        <f>D273+(B359-1)*7</f>
        <v>42710</v>
      </c>
      <c r="E359" s="179"/>
      <c r="F359" s="179"/>
      <c r="G359" s="179"/>
      <c r="H359" s="179"/>
      <c r="I359" s="179"/>
      <c r="J359" s="179"/>
      <c r="K359" s="179"/>
      <c r="L359" s="179"/>
      <c r="M359" s="179"/>
      <c r="N359" s="179"/>
      <c r="O359" s="178">
        <f>O273+(B359-1)*7</f>
        <v>42713</v>
      </c>
      <c r="P359" s="179"/>
      <c r="Q359" s="179"/>
      <c r="R359" s="179"/>
      <c r="S359" s="179"/>
      <c r="T359" s="179"/>
      <c r="U359" s="180"/>
      <c r="V359" s="179">
        <f>V273+(B359-1)*7</f>
        <v>42715</v>
      </c>
      <c r="W359" s="179"/>
      <c r="X359" s="179"/>
      <c r="Y359" s="179"/>
      <c r="Z359" s="179"/>
      <c r="AA359" s="179"/>
      <c r="AB359" s="181"/>
      <c r="AC359" s="37"/>
      <c r="AD359" s="41"/>
      <c r="AE359" s="41"/>
      <c r="AF359" s="41"/>
    </row>
    <row r="360" spans="1:32" ht="16" customHeight="1" x14ac:dyDescent="0.2">
      <c r="A360" s="37"/>
      <c r="B360" s="174"/>
      <c r="C360" s="175"/>
      <c r="D360" s="182" t="s">
        <v>99</v>
      </c>
      <c r="E360" s="183"/>
      <c r="F360" s="183"/>
      <c r="G360" s="184"/>
      <c r="H360" s="185" t="s">
        <v>101</v>
      </c>
      <c r="I360" s="183"/>
      <c r="J360" s="183"/>
      <c r="K360" s="184"/>
      <c r="L360" s="183" t="s">
        <v>100</v>
      </c>
      <c r="M360" s="183"/>
      <c r="N360" s="183"/>
      <c r="O360" s="182" t="s">
        <v>99</v>
      </c>
      <c r="P360" s="183"/>
      <c r="Q360" s="183"/>
      <c r="R360" s="183"/>
      <c r="S360" s="185" t="s">
        <v>100</v>
      </c>
      <c r="T360" s="183"/>
      <c r="U360" s="186"/>
      <c r="V360" s="183" t="s">
        <v>99</v>
      </c>
      <c r="W360" s="183"/>
      <c r="X360" s="183"/>
      <c r="Y360" s="183"/>
      <c r="Z360" s="185" t="s">
        <v>100</v>
      </c>
      <c r="AA360" s="183"/>
      <c r="AB360" s="187"/>
      <c r="AC360" s="37"/>
      <c r="AD360" s="41"/>
      <c r="AE360" s="41"/>
      <c r="AF360" s="41"/>
    </row>
    <row r="361" spans="1:32" ht="16" customHeight="1" x14ac:dyDescent="0.2">
      <c r="A361" s="37"/>
      <c r="B361" s="174"/>
      <c r="C361" s="175"/>
      <c r="D361" s="188" t="s">
        <v>110</v>
      </c>
      <c r="E361" s="189"/>
      <c r="F361" s="189"/>
      <c r="G361" s="190"/>
      <c r="H361" s="43" t="s">
        <v>113</v>
      </c>
      <c r="I361" s="43" t="s">
        <v>114</v>
      </c>
      <c r="J361" s="71" t="s">
        <v>115</v>
      </c>
      <c r="K361" s="53" t="s">
        <v>116</v>
      </c>
      <c r="L361" s="74" t="s">
        <v>96</v>
      </c>
      <c r="M361" s="191"/>
      <c r="N361" s="191"/>
      <c r="O361" s="188" t="s">
        <v>110</v>
      </c>
      <c r="P361" s="189"/>
      <c r="Q361" s="189"/>
      <c r="R361" s="189"/>
      <c r="S361" s="77" t="s">
        <v>96</v>
      </c>
      <c r="T361" s="191"/>
      <c r="U361" s="192"/>
      <c r="V361" s="189" t="s">
        <v>110</v>
      </c>
      <c r="W361" s="189"/>
      <c r="X361" s="189"/>
      <c r="Y361" s="189"/>
      <c r="Z361" s="77" t="s">
        <v>96</v>
      </c>
      <c r="AA361" s="191"/>
      <c r="AB361" s="193"/>
      <c r="AC361" s="37"/>
      <c r="AD361" s="41"/>
      <c r="AE361" s="41"/>
      <c r="AF361" s="41"/>
    </row>
    <row r="362" spans="1:32" ht="16" customHeight="1" x14ac:dyDescent="0.2">
      <c r="A362" s="37"/>
      <c r="B362" s="174"/>
      <c r="C362" s="175"/>
      <c r="D362" s="82" t="s">
        <v>53</v>
      </c>
      <c r="E362" s="41" t="s">
        <v>54</v>
      </c>
      <c r="F362" s="41" t="s">
        <v>90</v>
      </c>
      <c r="G362" s="53" t="s">
        <v>55</v>
      </c>
      <c r="H362" s="43" t="s">
        <v>102</v>
      </c>
      <c r="I362" s="43">
        <f>F363</f>
        <v>4.5076195987654322E-3</v>
      </c>
      <c r="J362" s="71"/>
      <c r="K362" s="52" t="str">
        <f>IF(J362="","",ABS(I362-J362))</f>
        <v/>
      </c>
      <c r="L362" s="75" t="s">
        <v>97</v>
      </c>
      <c r="M362" s="164"/>
      <c r="N362" s="164"/>
      <c r="O362" s="82" t="s">
        <v>54</v>
      </c>
      <c r="P362" s="41" t="s">
        <v>65</v>
      </c>
      <c r="Q362" s="67" t="s">
        <v>117</v>
      </c>
      <c r="R362" s="41" t="s">
        <v>116</v>
      </c>
      <c r="S362" s="78" t="s">
        <v>97</v>
      </c>
      <c r="T362" s="164"/>
      <c r="U362" s="168"/>
      <c r="V362" s="41" t="s">
        <v>54</v>
      </c>
      <c r="W362" s="41" t="s">
        <v>65</v>
      </c>
      <c r="X362" s="67" t="s">
        <v>117</v>
      </c>
      <c r="Y362" s="41" t="s">
        <v>116</v>
      </c>
      <c r="Z362" s="78" t="s">
        <v>97</v>
      </c>
      <c r="AA362" s="164"/>
      <c r="AB362" s="169"/>
      <c r="AC362" s="37"/>
      <c r="AD362" s="41"/>
      <c r="AE362" s="41"/>
      <c r="AF362" s="41"/>
    </row>
    <row r="363" spans="1:32" ht="16" customHeight="1" x14ac:dyDescent="0.2">
      <c r="A363" s="37"/>
      <c r="B363" s="174"/>
      <c r="C363" s="175"/>
      <c r="D363" s="82" t="s">
        <v>59</v>
      </c>
      <c r="E363" s="41">
        <v>1600</v>
      </c>
      <c r="F363" s="43">
        <f>L270</f>
        <v>4.5076195987654322E-3</v>
      </c>
      <c r="G363" s="53" t="s">
        <v>129</v>
      </c>
      <c r="H363" s="43" t="s">
        <v>103</v>
      </c>
      <c r="I363" s="43">
        <f>F363</f>
        <v>4.5076195987654322E-3</v>
      </c>
      <c r="J363" s="71"/>
      <c r="K363" s="52" t="str">
        <f t="shared" ref="K363:K366" si="78">IF(J363="","",ABS(I363-J363))</f>
        <v/>
      </c>
      <c r="L363" s="75" t="s">
        <v>98</v>
      </c>
      <c r="M363" s="164"/>
      <c r="N363" s="164"/>
      <c r="O363" s="82" t="s">
        <v>122</v>
      </c>
      <c r="P363" s="43">
        <f>S272</f>
        <v>3.7268518518518519E-3</v>
      </c>
      <c r="Q363" s="71"/>
      <c r="R363" s="52" t="str">
        <f>IF(Q363="","",ABS(P363-Q363))</f>
        <v/>
      </c>
      <c r="S363" s="78" t="s">
        <v>98</v>
      </c>
      <c r="T363" s="164"/>
      <c r="U363" s="168"/>
      <c r="V363" s="41" t="s">
        <v>149</v>
      </c>
      <c r="W363" s="43">
        <f>Z270+19/86400</f>
        <v>3.4239969135802465E-3</v>
      </c>
      <c r="X363" s="71"/>
      <c r="Y363" s="52" t="str">
        <f>IF(X363="","",ABS(W363-X363))</f>
        <v/>
      </c>
      <c r="Z363" s="78" t="s">
        <v>98</v>
      </c>
      <c r="AA363" s="164"/>
      <c r="AB363" s="169"/>
      <c r="AC363" s="37"/>
      <c r="AD363" s="41"/>
      <c r="AE363" s="41"/>
      <c r="AF363" s="41"/>
    </row>
    <row r="364" spans="1:32" ht="16" customHeight="1" x14ac:dyDescent="0.2">
      <c r="A364" s="37"/>
      <c r="B364" s="174"/>
      <c r="C364" s="175"/>
      <c r="D364" s="82" t="s">
        <v>59</v>
      </c>
      <c r="E364" s="41">
        <v>800</v>
      </c>
      <c r="F364" s="43">
        <f>F271</f>
        <v>2.1566358024691359E-3</v>
      </c>
      <c r="G364" s="53" t="s">
        <v>129</v>
      </c>
      <c r="H364" s="43" t="s">
        <v>104</v>
      </c>
      <c r="I364" s="43">
        <f>F364</f>
        <v>2.1566358024691359E-3</v>
      </c>
      <c r="J364" s="71"/>
      <c r="K364" s="52" t="str">
        <f t="shared" si="78"/>
        <v/>
      </c>
      <c r="L364" s="170" t="s">
        <v>112</v>
      </c>
      <c r="M364" s="171"/>
      <c r="N364" s="90"/>
      <c r="O364" s="82" t="s">
        <v>119</v>
      </c>
      <c r="P364" s="43">
        <f>S270</f>
        <v>3.1481481481481482E-3</v>
      </c>
      <c r="Q364" s="71"/>
      <c r="R364" s="52" t="str">
        <f t="shared" ref="R364:R365" si="79">IF(Q364="","",ABS(P364-Q364))</f>
        <v/>
      </c>
      <c r="S364" s="170" t="s">
        <v>112</v>
      </c>
      <c r="T364" s="171"/>
      <c r="U364" s="83"/>
      <c r="V364" s="166" t="s">
        <v>111</v>
      </c>
      <c r="W364" s="166"/>
      <c r="X364" s="166"/>
      <c r="Y364" s="167"/>
      <c r="Z364" s="170" t="s">
        <v>112</v>
      </c>
      <c r="AA364" s="171"/>
      <c r="AB364" s="80"/>
      <c r="AC364" s="37"/>
      <c r="AD364" s="41"/>
      <c r="AE364" s="41"/>
      <c r="AF364" s="41"/>
    </row>
    <row r="365" spans="1:32" ht="16" customHeight="1" x14ac:dyDescent="0.2">
      <c r="A365" s="37"/>
      <c r="B365" s="174"/>
      <c r="C365" s="175"/>
      <c r="D365" s="165" t="s">
        <v>111</v>
      </c>
      <c r="E365" s="166"/>
      <c r="F365" s="166"/>
      <c r="G365" s="167"/>
      <c r="H365" s="43" t="s">
        <v>105</v>
      </c>
      <c r="I365" s="43">
        <f>F364</f>
        <v>2.1566358024691359E-3</v>
      </c>
      <c r="J365" s="71"/>
      <c r="K365" s="52" t="str">
        <f t="shared" ref="K365" si="80">IF(J365="","",ABS(I365-J365))</f>
        <v/>
      </c>
      <c r="L365" s="163" t="s">
        <v>88</v>
      </c>
      <c r="M365" s="164"/>
      <c r="N365" s="164"/>
      <c r="O365" s="82" t="s">
        <v>122</v>
      </c>
      <c r="P365" s="43">
        <f>P363</f>
        <v>3.7268518518518519E-3</v>
      </c>
      <c r="Q365" s="71"/>
      <c r="R365" s="52" t="str">
        <f t="shared" si="79"/>
        <v/>
      </c>
      <c r="S365" s="163" t="s">
        <v>88</v>
      </c>
      <c r="T365" s="164"/>
      <c r="U365" s="168"/>
      <c r="V365" s="30"/>
      <c r="W365" s="30"/>
      <c r="X365" s="30"/>
      <c r="Y365" s="30"/>
      <c r="Z365" s="163" t="s">
        <v>88</v>
      </c>
      <c r="AA365" s="164"/>
      <c r="AB365" s="169"/>
      <c r="AC365" s="37"/>
      <c r="AD365" s="41"/>
      <c r="AE365" s="41"/>
      <c r="AF365" s="41"/>
    </row>
    <row r="366" spans="1:32" ht="16" customHeight="1" thickBot="1" x14ac:dyDescent="0.25">
      <c r="A366" s="37"/>
      <c r="B366" s="174"/>
      <c r="C366" s="175"/>
      <c r="D366" s="84"/>
      <c r="E366" s="43"/>
      <c r="F366" s="43"/>
      <c r="G366" s="53"/>
      <c r="H366" s="43"/>
      <c r="I366" s="43"/>
      <c r="J366" s="43"/>
      <c r="K366" s="52" t="str">
        <f t="shared" si="78"/>
        <v/>
      </c>
      <c r="L366" s="163"/>
      <c r="M366" s="164"/>
      <c r="N366" s="164"/>
      <c r="O366" s="165" t="s">
        <v>111</v>
      </c>
      <c r="P366" s="166"/>
      <c r="Q366" s="166"/>
      <c r="R366" s="167"/>
      <c r="S366" s="163"/>
      <c r="T366" s="164"/>
      <c r="U366" s="168"/>
      <c r="V366" s="30"/>
      <c r="W366" s="30"/>
      <c r="X366" s="30"/>
      <c r="Y366" s="30"/>
      <c r="Z366" s="163"/>
      <c r="AA366" s="164"/>
      <c r="AB366" s="169"/>
      <c r="AC366" s="37"/>
      <c r="AD366" s="41"/>
      <c r="AE366" s="41"/>
      <c r="AF366" s="41"/>
    </row>
    <row r="367" spans="1:32" ht="16" customHeight="1" x14ac:dyDescent="0.2">
      <c r="A367" s="37"/>
      <c r="B367" s="172">
        <f>B359+1</f>
        <v>10</v>
      </c>
      <c r="C367" s="173"/>
      <c r="D367" s="178">
        <f>D273+(B367-1)*7</f>
        <v>42717</v>
      </c>
      <c r="E367" s="179"/>
      <c r="F367" s="179"/>
      <c r="G367" s="179"/>
      <c r="H367" s="179"/>
      <c r="I367" s="179"/>
      <c r="J367" s="179"/>
      <c r="K367" s="179"/>
      <c r="L367" s="179"/>
      <c r="M367" s="179"/>
      <c r="N367" s="179"/>
      <c r="O367" s="178">
        <f>O273+(B367-1)*7</f>
        <v>42720</v>
      </c>
      <c r="P367" s="179"/>
      <c r="Q367" s="179"/>
      <c r="R367" s="179"/>
      <c r="S367" s="179"/>
      <c r="T367" s="179"/>
      <c r="U367" s="180"/>
      <c r="V367" s="179">
        <f>V273+(B367-1)*7</f>
        <v>42722</v>
      </c>
      <c r="W367" s="179"/>
      <c r="X367" s="179"/>
      <c r="Y367" s="179"/>
      <c r="Z367" s="179"/>
      <c r="AA367" s="179"/>
      <c r="AB367" s="181"/>
      <c r="AC367" s="37"/>
      <c r="AD367" s="41"/>
      <c r="AE367" s="41"/>
      <c r="AF367" s="41"/>
    </row>
    <row r="368" spans="1:32" ht="16" customHeight="1" x14ac:dyDescent="0.2">
      <c r="A368" s="37"/>
      <c r="B368" s="174"/>
      <c r="C368" s="175"/>
      <c r="D368" s="182" t="s">
        <v>99</v>
      </c>
      <c r="E368" s="183"/>
      <c r="F368" s="183"/>
      <c r="G368" s="184"/>
      <c r="H368" s="185" t="s">
        <v>101</v>
      </c>
      <c r="I368" s="183"/>
      <c r="J368" s="183"/>
      <c r="K368" s="184"/>
      <c r="L368" s="183" t="s">
        <v>100</v>
      </c>
      <c r="M368" s="183"/>
      <c r="N368" s="183"/>
      <c r="O368" s="182" t="s">
        <v>99</v>
      </c>
      <c r="P368" s="183"/>
      <c r="Q368" s="183"/>
      <c r="R368" s="183"/>
      <c r="S368" s="185" t="s">
        <v>100</v>
      </c>
      <c r="T368" s="183"/>
      <c r="U368" s="186"/>
      <c r="V368" s="183" t="s">
        <v>99</v>
      </c>
      <c r="W368" s="183"/>
      <c r="X368" s="183"/>
      <c r="Y368" s="183"/>
      <c r="Z368" s="185" t="s">
        <v>100</v>
      </c>
      <c r="AA368" s="183"/>
      <c r="AB368" s="187"/>
      <c r="AC368" s="37"/>
      <c r="AD368" s="41"/>
      <c r="AE368" s="41"/>
      <c r="AF368" s="41"/>
    </row>
    <row r="369" spans="1:32" ht="16" customHeight="1" x14ac:dyDescent="0.2">
      <c r="A369" s="37"/>
      <c r="B369" s="174"/>
      <c r="C369" s="175"/>
      <c r="D369" s="188" t="s">
        <v>110</v>
      </c>
      <c r="E369" s="189"/>
      <c r="F369" s="189"/>
      <c r="G369" s="190"/>
      <c r="H369" s="43" t="s">
        <v>113</v>
      </c>
      <c r="I369" s="43" t="s">
        <v>114</v>
      </c>
      <c r="J369" s="71" t="s">
        <v>115</v>
      </c>
      <c r="K369" s="53" t="s">
        <v>116</v>
      </c>
      <c r="L369" s="74" t="s">
        <v>96</v>
      </c>
      <c r="M369" s="191"/>
      <c r="N369" s="191"/>
      <c r="O369" s="188" t="s">
        <v>110</v>
      </c>
      <c r="P369" s="189"/>
      <c r="Q369" s="189"/>
      <c r="R369" s="189"/>
      <c r="S369" s="77" t="s">
        <v>96</v>
      </c>
      <c r="T369" s="191"/>
      <c r="U369" s="192"/>
      <c r="V369" s="189" t="s">
        <v>110</v>
      </c>
      <c r="W369" s="189"/>
      <c r="X369" s="189"/>
      <c r="Y369" s="189"/>
      <c r="Z369" s="77" t="s">
        <v>96</v>
      </c>
      <c r="AA369" s="191"/>
      <c r="AB369" s="193"/>
      <c r="AC369" s="37"/>
      <c r="AD369" s="41"/>
      <c r="AE369" s="41"/>
      <c r="AF369" s="41"/>
    </row>
    <row r="370" spans="1:32" ht="16" customHeight="1" x14ac:dyDescent="0.2">
      <c r="A370" s="37"/>
      <c r="B370" s="174"/>
      <c r="C370" s="175"/>
      <c r="D370" s="82" t="s">
        <v>53</v>
      </c>
      <c r="E370" s="41" t="s">
        <v>54</v>
      </c>
      <c r="F370" s="41" t="s">
        <v>90</v>
      </c>
      <c r="G370" s="53" t="s">
        <v>55</v>
      </c>
      <c r="H370" s="43" t="s">
        <v>102</v>
      </c>
      <c r="I370" s="43">
        <f>F371</f>
        <v>3.3135609567901229E-3</v>
      </c>
      <c r="J370" s="71"/>
      <c r="K370" s="52" t="str">
        <f>IF(J370="","",ABS(I370-J370))</f>
        <v/>
      </c>
      <c r="L370" s="75" t="s">
        <v>97</v>
      </c>
      <c r="M370" s="164"/>
      <c r="N370" s="164"/>
      <c r="O370" s="82" t="s">
        <v>54</v>
      </c>
      <c r="P370" s="41" t="s">
        <v>65</v>
      </c>
      <c r="Q370" s="67" t="s">
        <v>117</v>
      </c>
      <c r="R370" s="41" t="s">
        <v>116</v>
      </c>
      <c r="S370" s="78" t="s">
        <v>97</v>
      </c>
      <c r="T370" s="164"/>
      <c r="U370" s="168"/>
      <c r="V370" s="41" t="s">
        <v>54</v>
      </c>
      <c r="W370" s="41" t="s">
        <v>65</v>
      </c>
      <c r="X370" s="67" t="s">
        <v>117</v>
      </c>
      <c r="Y370" s="41" t="s">
        <v>116</v>
      </c>
      <c r="Z370" s="78" t="s">
        <v>97</v>
      </c>
      <c r="AA370" s="164"/>
      <c r="AB370" s="169"/>
      <c r="AC370" s="37"/>
      <c r="AD370" s="41"/>
      <c r="AE370" s="41"/>
      <c r="AF370" s="41"/>
    </row>
    <row r="371" spans="1:32" ht="16" customHeight="1" x14ac:dyDescent="0.2">
      <c r="A371" s="37"/>
      <c r="B371" s="174"/>
      <c r="C371" s="175"/>
      <c r="D371" s="82" t="s">
        <v>61</v>
      </c>
      <c r="E371" s="41">
        <v>1200</v>
      </c>
      <c r="F371" s="43">
        <f>L269</f>
        <v>3.3135609567901229E-3</v>
      </c>
      <c r="G371" s="53" t="s">
        <v>145</v>
      </c>
      <c r="H371" s="43" t="s">
        <v>103</v>
      </c>
      <c r="I371" s="43">
        <f>F371</f>
        <v>3.3135609567901229E-3</v>
      </c>
      <c r="J371" s="71"/>
      <c r="K371" s="52" t="str">
        <f t="shared" ref="K371:K374" si="81">IF(J371="","",ABS(I371-J371))</f>
        <v/>
      </c>
      <c r="L371" s="75" t="s">
        <v>98</v>
      </c>
      <c r="M371" s="164"/>
      <c r="N371" s="164"/>
      <c r="O371" s="82" t="s">
        <v>122</v>
      </c>
      <c r="P371" s="43">
        <f>S272</f>
        <v>3.7268518518518519E-3</v>
      </c>
      <c r="Q371" s="71"/>
      <c r="R371" s="52" t="str">
        <f>IF(Q371="","",ABS(P371-Q371))</f>
        <v/>
      </c>
      <c r="S371" s="78" t="s">
        <v>98</v>
      </c>
      <c r="T371" s="164"/>
      <c r="U371" s="168"/>
      <c r="V371" s="41" t="s">
        <v>139</v>
      </c>
      <c r="W371" s="43">
        <f>Z270+13/86400</f>
        <v>3.354552469135802E-3</v>
      </c>
      <c r="X371" s="71"/>
      <c r="Y371" s="52" t="str">
        <f>IF(X371="","",ABS(W371-X371))</f>
        <v/>
      </c>
      <c r="Z371" s="78" t="s">
        <v>98</v>
      </c>
      <c r="AA371" s="164"/>
      <c r="AB371" s="169"/>
      <c r="AC371" s="37"/>
      <c r="AD371" s="41"/>
      <c r="AE371" s="41"/>
      <c r="AF371" s="41"/>
    </row>
    <row r="372" spans="1:32" ht="16" customHeight="1" x14ac:dyDescent="0.2">
      <c r="A372" s="37"/>
      <c r="B372" s="174"/>
      <c r="C372" s="175"/>
      <c r="D372" s="165" t="s">
        <v>111</v>
      </c>
      <c r="E372" s="166"/>
      <c r="F372" s="166"/>
      <c r="G372" s="167"/>
      <c r="H372" s="43" t="s">
        <v>104</v>
      </c>
      <c r="I372" s="43">
        <f>I371</f>
        <v>3.3135609567901229E-3</v>
      </c>
      <c r="J372" s="71"/>
      <c r="K372" s="52" t="str">
        <f t="shared" si="81"/>
        <v/>
      </c>
      <c r="L372" s="170" t="s">
        <v>112</v>
      </c>
      <c r="M372" s="171"/>
      <c r="N372" s="90"/>
      <c r="O372" s="82" t="s">
        <v>121</v>
      </c>
      <c r="P372" s="43">
        <f>S270</f>
        <v>3.1481481481481482E-3</v>
      </c>
      <c r="Q372" s="71"/>
      <c r="R372" s="52" t="str">
        <f t="shared" ref="R372:R373" si="82">IF(Q372="","",ABS(P372-Q372))</f>
        <v/>
      </c>
      <c r="S372" s="170" t="s">
        <v>112</v>
      </c>
      <c r="T372" s="171"/>
      <c r="U372" s="83"/>
      <c r="V372" s="166" t="s">
        <v>111</v>
      </c>
      <c r="W372" s="166"/>
      <c r="X372" s="166"/>
      <c r="Y372" s="167"/>
      <c r="Z372" s="170" t="s">
        <v>112</v>
      </c>
      <c r="AA372" s="171"/>
      <c r="AB372" s="80"/>
      <c r="AC372" s="37"/>
      <c r="AD372" s="41"/>
      <c r="AE372" s="41"/>
      <c r="AF372" s="41"/>
    </row>
    <row r="373" spans="1:32" ht="16" customHeight="1" x14ac:dyDescent="0.2">
      <c r="A373" s="37"/>
      <c r="B373" s="174"/>
      <c r="C373" s="175"/>
      <c r="D373" s="165"/>
      <c r="E373" s="166"/>
      <c r="F373" s="166"/>
      <c r="G373" s="167"/>
      <c r="H373" s="43" t="s">
        <v>105</v>
      </c>
      <c r="I373" s="43">
        <f>I372</f>
        <v>3.3135609567901229E-3</v>
      </c>
      <c r="J373" s="71"/>
      <c r="K373" s="52" t="str">
        <f t="shared" si="81"/>
        <v/>
      </c>
      <c r="L373" s="163" t="s">
        <v>88</v>
      </c>
      <c r="M373" s="164"/>
      <c r="N373" s="164"/>
      <c r="O373" s="82" t="s">
        <v>122</v>
      </c>
      <c r="P373" s="43">
        <f>P371</f>
        <v>3.7268518518518519E-3</v>
      </c>
      <c r="Q373" s="71"/>
      <c r="R373" s="52" t="str">
        <f t="shared" si="82"/>
        <v/>
      </c>
      <c r="S373" s="163" t="s">
        <v>88</v>
      </c>
      <c r="T373" s="164"/>
      <c r="U373" s="168"/>
      <c r="V373" s="30"/>
      <c r="W373" s="30"/>
      <c r="X373" s="30"/>
      <c r="Y373" s="30"/>
      <c r="Z373" s="163" t="s">
        <v>88</v>
      </c>
      <c r="AA373" s="164"/>
      <c r="AB373" s="169"/>
      <c r="AC373" s="37"/>
      <c r="AD373" s="41"/>
      <c r="AE373" s="41"/>
      <c r="AF373" s="41"/>
    </row>
    <row r="374" spans="1:32" ht="16" customHeight="1" thickBot="1" x14ac:dyDescent="0.25">
      <c r="A374" s="37"/>
      <c r="B374" s="174"/>
      <c r="C374" s="175"/>
      <c r="D374" s="84"/>
      <c r="E374" s="43"/>
      <c r="F374" s="43"/>
      <c r="G374" s="53"/>
      <c r="H374" s="43"/>
      <c r="I374" s="43"/>
      <c r="J374" s="43"/>
      <c r="K374" s="52" t="str">
        <f t="shared" si="81"/>
        <v/>
      </c>
      <c r="L374" s="163"/>
      <c r="M374" s="164"/>
      <c r="N374" s="164"/>
      <c r="O374" s="165" t="s">
        <v>111</v>
      </c>
      <c r="P374" s="166"/>
      <c r="Q374" s="166"/>
      <c r="R374" s="167"/>
      <c r="S374" s="163"/>
      <c r="T374" s="164"/>
      <c r="U374" s="168"/>
      <c r="V374" s="30"/>
      <c r="W374" s="30"/>
      <c r="X374" s="30"/>
      <c r="Y374" s="30"/>
      <c r="Z374" s="163"/>
      <c r="AA374" s="164"/>
      <c r="AB374" s="169"/>
      <c r="AC374" s="37"/>
      <c r="AD374" s="41"/>
      <c r="AE374" s="41"/>
      <c r="AF374" s="41"/>
    </row>
    <row r="375" spans="1:32" ht="16" customHeight="1" x14ac:dyDescent="0.2">
      <c r="A375" s="37"/>
      <c r="B375" s="172">
        <f>B367+1</f>
        <v>11</v>
      </c>
      <c r="C375" s="173"/>
      <c r="D375" s="178">
        <f>D273+(B375-1)*7</f>
        <v>42724</v>
      </c>
      <c r="E375" s="179"/>
      <c r="F375" s="179"/>
      <c r="G375" s="179"/>
      <c r="H375" s="179"/>
      <c r="I375" s="179"/>
      <c r="J375" s="179"/>
      <c r="K375" s="179"/>
      <c r="L375" s="179"/>
      <c r="M375" s="179"/>
      <c r="N375" s="179"/>
      <c r="O375" s="178">
        <f>O273+(B375-1)*7</f>
        <v>42727</v>
      </c>
      <c r="P375" s="179"/>
      <c r="Q375" s="179"/>
      <c r="R375" s="179"/>
      <c r="S375" s="179"/>
      <c r="T375" s="179"/>
      <c r="U375" s="180"/>
      <c r="V375" s="179">
        <f>V273+(B375-1)*7</f>
        <v>42729</v>
      </c>
      <c r="W375" s="179"/>
      <c r="X375" s="179"/>
      <c r="Y375" s="179"/>
      <c r="Z375" s="179"/>
      <c r="AA375" s="179"/>
      <c r="AB375" s="181"/>
      <c r="AC375" s="37"/>
      <c r="AD375" s="41"/>
      <c r="AE375" s="41"/>
      <c r="AF375" s="41"/>
    </row>
    <row r="376" spans="1:32" ht="16" customHeight="1" x14ac:dyDescent="0.2">
      <c r="A376" s="37"/>
      <c r="B376" s="174"/>
      <c r="C376" s="175"/>
      <c r="D376" s="182" t="s">
        <v>99</v>
      </c>
      <c r="E376" s="183"/>
      <c r="F376" s="183"/>
      <c r="G376" s="184"/>
      <c r="H376" s="185" t="s">
        <v>101</v>
      </c>
      <c r="I376" s="183"/>
      <c r="J376" s="183"/>
      <c r="K376" s="184"/>
      <c r="L376" s="183" t="s">
        <v>100</v>
      </c>
      <c r="M376" s="183"/>
      <c r="N376" s="183"/>
      <c r="O376" s="182" t="s">
        <v>99</v>
      </c>
      <c r="P376" s="183"/>
      <c r="Q376" s="183"/>
      <c r="R376" s="183"/>
      <c r="S376" s="185" t="s">
        <v>100</v>
      </c>
      <c r="T376" s="183"/>
      <c r="U376" s="186"/>
      <c r="V376" s="183" t="s">
        <v>99</v>
      </c>
      <c r="W376" s="183"/>
      <c r="X376" s="183"/>
      <c r="Y376" s="183"/>
      <c r="Z376" s="185" t="s">
        <v>100</v>
      </c>
      <c r="AA376" s="183"/>
      <c r="AB376" s="187"/>
      <c r="AC376" s="37"/>
      <c r="AD376" s="41"/>
      <c r="AE376" s="41"/>
      <c r="AF376" s="41"/>
    </row>
    <row r="377" spans="1:32" ht="16" customHeight="1" x14ac:dyDescent="0.2">
      <c r="A377" s="37"/>
      <c r="B377" s="174"/>
      <c r="C377" s="175"/>
      <c r="D377" s="188" t="s">
        <v>110</v>
      </c>
      <c r="E377" s="189"/>
      <c r="F377" s="189"/>
      <c r="G377" s="190"/>
      <c r="H377" s="43" t="s">
        <v>113</v>
      </c>
      <c r="I377" s="43" t="s">
        <v>114</v>
      </c>
      <c r="J377" s="71" t="s">
        <v>115</v>
      </c>
      <c r="K377" s="53" t="s">
        <v>116</v>
      </c>
      <c r="L377" s="74" t="s">
        <v>96</v>
      </c>
      <c r="M377" s="191"/>
      <c r="N377" s="191"/>
      <c r="O377" s="188" t="s">
        <v>110</v>
      </c>
      <c r="P377" s="189"/>
      <c r="Q377" s="189"/>
      <c r="R377" s="189"/>
      <c r="S377" s="77" t="s">
        <v>96</v>
      </c>
      <c r="T377" s="191"/>
      <c r="U377" s="192"/>
      <c r="V377" s="189" t="s">
        <v>110</v>
      </c>
      <c r="W377" s="189"/>
      <c r="X377" s="189"/>
      <c r="Y377" s="189"/>
      <c r="Z377" s="77" t="s">
        <v>96</v>
      </c>
      <c r="AA377" s="191"/>
      <c r="AB377" s="193"/>
      <c r="AC377" s="37"/>
      <c r="AD377" s="41"/>
      <c r="AE377" s="41"/>
      <c r="AF377" s="41"/>
    </row>
    <row r="378" spans="1:32" ht="16" customHeight="1" x14ac:dyDescent="0.2">
      <c r="A378" s="37"/>
      <c r="B378" s="174"/>
      <c r="C378" s="175"/>
      <c r="D378" s="82" t="s">
        <v>53</v>
      </c>
      <c r="E378" s="41" t="s">
        <v>54</v>
      </c>
      <c r="F378" s="41" t="s">
        <v>90</v>
      </c>
      <c r="G378" s="53" t="s">
        <v>55</v>
      </c>
      <c r="H378" s="43" t="s">
        <v>102</v>
      </c>
      <c r="I378" s="43">
        <f>F379</f>
        <v>2.7247299382716049E-3</v>
      </c>
      <c r="J378" s="71"/>
      <c r="K378" s="52" t="str">
        <f>IF(J378="","",ABS(I378-J378))</f>
        <v/>
      </c>
      <c r="L378" s="75" t="s">
        <v>97</v>
      </c>
      <c r="M378" s="164"/>
      <c r="N378" s="164"/>
      <c r="O378" s="82" t="s">
        <v>54</v>
      </c>
      <c r="P378" s="41" t="s">
        <v>65</v>
      </c>
      <c r="Q378" s="67" t="s">
        <v>117</v>
      </c>
      <c r="R378" s="41" t="s">
        <v>116</v>
      </c>
      <c r="S378" s="78" t="s">
        <v>97</v>
      </c>
      <c r="T378" s="164"/>
      <c r="U378" s="168"/>
      <c r="V378" s="41" t="s">
        <v>54</v>
      </c>
      <c r="W378" s="41" t="s">
        <v>65</v>
      </c>
      <c r="X378" s="67" t="s">
        <v>117</v>
      </c>
      <c r="Y378" s="41" t="s">
        <v>116</v>
      </c>
      <c r="Z378" s="78" t="s">
        <v>97</v>
      </c>
      <c r="AA378" s="164"/>
      <c r="AB378" s="169"/>
      <c r="AC378" s="37"/>
      <c r="AD378" s="41"/>
      <c r="AE378" s="41"/>
      <c r="AF378" s="41"/>
    </row>
    <row r="379" spans="1:32" ht="16" customHeight="1" x14ac:dyDescent="0.2">
      <c r="A379" s="37"/>
      <c r="B379" s="174"/>
      <c r="C379" s="175"/>
      <c r="D379" s="82" t="s">
        <v>60</v>
      </c>
      <c r="E379" s="41">
        <v>1000</v>
      </c>
      <c r="F379" s="43">
        <f>F272</f>
        <v>2.7247299382716049E-3</v>
      </c>
      <c r="G379" s="53" t="s">
        <v>57</v>
      </c>
      <c r="H379" s="43" t="s">
        <v>103</v>
      </c>
      <c r="I379" s="43">
        <f>F380</f>
        <v>5.6925154320987652E-3</v>
      </c>
      <c r="J379" s="71"/>
      <c r="K379" s="52" t="str">
        <f t="shared" ref="K379:K382" si="83">IF(J379="","",ABS(I379-J379))</f>
        <v/>
      </c>
      <c r="L379" s="75" t="s">
        <v>98</v>
      </c>
      <c r="M379" s="164"/>
      <c r="N379" s="164"/>
      <c r="O379" s="82" t="s">
        <v>122</v>
      </c>
      <c r="P379" s="43">
        <f>S272</f>
        <v>3.7268518518518519E-3</v>
      </c>
      <c r="Q379" s="71"/>
      <c r="R379" s="52" t="str">
        <f>IF(Q379="","",ABS(P379-Q379))</f>
        <v/>
      </c>
      <c r="S379" s="78" t="s">
        <v>98</v>
      </c>
      <c r="T379" s="164"/>
      <c r="U379" s="168"/>
      <c r="V379" s="41" t="s">
        <v>150</v>
      </c>
      <c r="W379" s="43">
        <f>Z270+19/86400</f>
        <v>3.4239969135802465E-3</v>
      </c>
      <c r="X379" s="71"/>
      <c r="Y379" s="52" t="str">
        <f>IF(X379="","",ABS(W379-X379))</f>
        <v/>
      </c>
      <c r="Z379" s="78" t="s">
        <v>98</v>
      </c>
      <c r="AA379" s="164"/>
      <c r="AB379" s="169"/>
      <c r="AC379" s="37"/>
      <c r="AD379" s="41"/>
      <c r="AE379" s="41"/>
      <c r="AF379" s="41"/>
    </row>
    <row r="380" spans="1:32" ht="16" customHeight="1" x14ac:dyDescent="0.2">
      <c r="A380" s="37"/>
      <c r="B380" s="174"/>
      <c r="C380" s="175"/>
      <c r="D380" s="82" t="s">
        <v>60</v>
      </c>
      <c r="E380" s="41">
        <v>2000</v>
      </c>
      <c r="F380" s="43">
        <f>L271</f>
        <v>5.6925154320987652E-3</v>
      </c>
      <c r="G380" s="53" t="s">
        <v>57</v>
      </c>
      <c r="H380" s="43" t="s">
        <v>104</v>
      </c>
      <c r="I380" s="43">
        <f>F381</f>
        <v>2.7247299382716049E-3</v>
      </c>
      <c r="J380" s="71"/>
      <c r="K380" s="52" t="str">
        <f t="shared" si="83"/>
        <v/>
      </c>
      <c r="L380" s="170" t="s">
        <v>112</v>
      </c>
      <c r="M380" s="171"/>
      <c r="N380" s="90"/>
      <c r="O380" s="82" t="s">
        <v>119</v>
      </c>
      <c r="P380" s="43">
        <f>S270</f>
        <v>3.1481481481481482E-3</v>
      </c>
      <c r="Q380" s="71"/>
      <c r="R380" s="52" t="str">
        <f t="shared" ref="R380:R381" si="84">IF(Q380="","",ABS(P380-Q380))</f>
        <v/>
      </c>
      <c r="S380" s="170" t="s">
        <v>112</v>
      </c>
      <c r="T380" s="171"/>
      <c r="U380" s="83"/>
      <c r="V380" s="166" t="s">
        <v>111</v>
      </c>
      <c r="W380" s="166"/>
      <c r="X380" s="166"/>
      <c r="Y380" s="167"/>
      <c r="Z380" s="170" t="s">
        <v>112</v>
      </c>
      <c r="AA380" s="171"/>
      <c r="AB380" s="80"/>
      <c r="AC380" s="37"/>
      <c r="AD380" s="41"/>
      <c r="AE380" s="41"/>
      <c r="AF380" s="41"/>
    </row>
    <row r="381" spans="1:32" ht="16" customHeight="1" x14ac:dyDescent="0.2">
      <c r="A381" s="37"/>
      <c r="B381" s="174"/>
      <c r="C381" s="175"/>
      <c r="D381" s="82" t="s">
        <v>59</v>
      </c>
      <c r="E381" s="41">
        <v>1000</v>
      </c>
      <c r="F381" s="43">
        <f>F379</f>
        <v>2.7247299382716049E-3</v>
      </c>
      <c r="G381" s="53" t="s">
        <v>57</v>
      </c>
      <c r="H381" s="43" t="s">
        <v>105</v>
      </c>
      <c r="I381" s="43">
        <f>I380</f>
        <v>2.7247299382716049E-3</v>
      </c>
      <c r="J381" s="71"/>
      <c r="K381" s="52" t="str">
        <f t="shared" si="83"/>
        <v/>
      </c>
      <c r="L381" s="163" t="s">
        <v>88</v>
      </c>
      <c r="M381" s="164"/>
      <c r="N381" s="164"/>
      <c r="O381" s="82" t="s">
        <v>122</v>
      </c>
      <c r="P381" s="43">
        <f>P379</f>
        <v>3.7268518518518519E-3</v>
      </c>
      <c r="Q381" s="71"/>
      <c r="R381" s="52" t="str">
        <f t="shared" si="84"/>
        <v/>
      </c>
      <c r="S381" s="163" t="s">
        <v>88</v>
      </c>
      <c r="T381" s="164"/>
      <c r="U381" s="168"/>
      <c r="V381" s="30"/>
      <c r="W381" s="30"/>
      <c r="X381" s="30"/>
      <c r="Y381" s="30"/>
      <c r="Z381" s="163" t="s">
        <v>88</v>
      </c>
      <c r="AA381" s="164"/>
      <c r="AB381" s="169"/>
      <c r="AC381" s="37"/>
      <c r="AD381" s="41"/>
      <c r="AE381" s="41"/>
      <c r="AF381" s="41"/>
    </row>
    <row r="382" spans="1:32" ht="16" customHeight="1" thickBot="1" x14ac:dyDescent="0.25">
      <c r="A382" s="37"/>
      <c r="B382" s="174"/>
      <c r="C382" s="175"/>
      <c r="D382" s="165" t="s">
        <v>111</v>
      </c>
      <c r="E382" s="166"/>
      <c r="F382" s="166"/>
      <c r="G382" s="167"/>
      <c r="H382" s="43"/>
      <c r="I382" s="43"/>
      <c r="J382" s="43"/>
      <c r="K382" s="52" t="str">
        <f t="shared" si="83"/>
        <v/>
      </c>
      <c r="L382" s="163"/>
      <c r="M382" s="164"/>
      <c r="N382" s="164"/>
      <c r="O382" s="165" t="s">
        <v>111</v>
      </c>
      <c r="P382" s="166"/>
      <c r="Q382" s="166"/>
      <c r="R382" s="167"/>
      <c r="S382" s="163"/>
      <c r="T382" s="164"/>
      <c r="U382" s="168"/>
      <c r="V382" s="30"/>
      <c r="W382" s="30"/>
      <c r="X382" s="30"/>
      <c r="Y382" s="30"/>
      <c r="Z382" s="163"/>
      <c r="AA382" s="164"/>
      <c r="AB382" s="169"/>
      <c r="AC382" s="37"/>
      <c r="AD382" s="41"/>
      <c r="AE382" s="41"/>
      <c r="AF382" s="41"/>
    </row>
    <row r="383" spans="1:32" ht="16" customHeight="1" x14ac:dyDescent="0.2">
      <c r="A383" s="37"/>
      <c r="B383" s="172">
        <f>B375+1</f>
        <v>12</v>
      </c>
      <c r="C383" s="173"/>
      <c r="D383" s="178">
        <f>D273+(B383-1)*7</f>
        <v>42731</v>
      </c>
      <c r="E383" s="179"/>
      <c r="F383" s="179"/>
      <c r="G383" s="179"/>
      <c r="H383" s="179"/>
      <c r="I383" s="179"/>
      <c r="J383" s="179"/>
      <c r="K383" s="179"/>
      <c r="L383" s="179"/>
      <c r="M383" s="179"/>
      <c r="N383" s="179"/>
      <c r="O383" s="178">
        <f>O273+(B383-1)*7</f>
        <v>42734</v>
      </c>
      <c r="P383" s="179"/>
      <c r="Q383" s="179"/>
      <c r="R383" s="179"/>
      <c r="S383" s="179"/>
      <c r="T383" s="179"/>
      <c r="U383" s="180"/>
      <c r="V383" s="179">
        <f>V273+(B383-1)*7</f>
        <v>42736</v>
      </c>
      <c r="W383" s="179"/>
      <c r="X383" s="179"/>
      <c r="Y383" s="179"/>
      <c r="Z383" s="179"/>
      <c r="AA383" s="179"/>
      <c r="AB383" s="181"/>
      <c r="AC383" s="37"/>
      <c r="AD383" s="41"/>
      <c r="AE383" s="41"/>
      <c r="AF383" s="41"/>
    </row>
    <row r="384" spans="1:32" ht="16" customHeight="1" x14ac:dyDescent="0.2">
      <c r="A384" s="37"/>
      <c r="B384" s="174"/>
      <c r="C384" s="175"/>
      <c r="D384" s="182" t="s">
        <v>99</v>
      </c>
      <c r="E384" s="183"/>
      <c r="F384" s="183"/>
      <c r="G384" s="184"/>
      <c r="H384" s="185" t="s">
        <v>101</v>
      </c>
      <c r="I384" s="183"/>
      <c r="J384" s="183"/>
      <c r="K384" s="184"/>
      <c r="L384" s="183" t="s">
        <v>100</v>
      </c>
      <c r="M384" s="183"/>
      <c r="N384" s="183"/>
      <c r="O384" s="182" t="s">
        <v>99</v>
      </c>
      <c r="P384" s="183"/>
      <c r="Q384" s="183"/>
      <c r="R384" s="183"/>
      <c r="S384" s="185" t="s">
        <v>100</v>
      </c>
      <c r="T384" s="183"/>
      <c r="U384" s="186"/>
      <c r="V384" s="183" t="s">
        <v>99</v>
      </c>
      <c r="W384" s="183"/>
      <c r="X384" s="183"/>
      <c r="Y384" s="183"/>
      <c r="Z384" s="185" t="s">
        <v>100</v>
      </c>
      <c r="AA384" s="183"/>
      <c r="AB384" s="187"/>
      <c r="AC384" s="37"/>
      <c r="AD384" s="41"/>
      <c r="AE384" s="41"/>
      <c r="AF384" s="41"/>
    </row>
    <row r="385" spans="1:32" ht="16" customHeight="1" x14ac:dyDescent="0.2">
      <c r="A385" s="37"/>
      <c r="B385" s="174"/>
      <c r="C385" s="175"/>
      <c r="D385" s="188" t="s">
        <v>110</v>
      </c>
      <c r="E385" s="189"/>
      <c r="F385" s="189"/>
      <c r="G385" s="190"/>
      <c r="H385" s="43" t="s">
        <v>113</v>
      </c>
      <c r="I385" s="43" t="s">
        <v>114</v>
      </c>
      <c r="J385" s="71" t="s">
        <v>115</v>
      </c>
      <c r="K385" s="53" t="s">
        <v>116</v>
      </c>
      <c r="L385" s="74" t="s">
        <v>96</v>
      </c>
      <c r="M385" s="191"/>
      <c r="N385" s="191"/>
      <c r="O385" s="188" t="s">
        <v>110</v>
      </c>
      <c r="P385" s="189"/>
      <c r="Q385" s="189"/>
      <c r="R385" s="189"/>
      <c r="S385" s="77" t="s">
        <v>96</v>
      </c>
      <c r="T385" s="191"/>
      <c r="U385" s="192"/>
      <c r="V385" s="189" t="s">
        <v>110</v>
      </c>
      <c r="W385" s="189"/>
      <c r="X385" s="189"/>
      <c r="Y385" s="189"/>
      <c r="Z385" s="77" t="s">
        <v>96</v>
      </c>
      <c r="AA385" s="191"/>
      <c r="AB385" s="193"/>
      <c r="AC385" s="37"/>
      <c r="AD385" s="41"/>
      <c r="AE385" s="41"/>
      <c r="AF385" s="41"/>
    </row>
    <row r="386" spans="1:32" ht="16" customHeight="1" x14ac:dyDescent="0.2">
      <c r="A386" s="37"/>
      <c r="B386" s="174"/>
      <c r="C386" s="175"/>
      <c r="D386" s="82" t="s">
        <v>53</v>
      </c>
      <c r="E386" s="41" t="s">
        <v>54</v>
      </c>
      <c r="F386" s="41" t="s">
        <v>90</v>
      </c>
      <c r="G386" s="53" t="s">
        <v>55</v>
      </c>
      <c r="H386" s="43" t="s">
        <v>102</v>
      </c>
      <c r="I386" s="43">
        <f>F387</f>
        <v>4.5076195987654322E-3</v>
      </c>
      <c r="J386" s="71"/>
      <c r="K386" s="52" t="str">
        <f>IF(J386="","",ABS(I386-J386))</f>
        <v/>
      </c>
      <c r="L386" s="75" t="s">
        <v>97</v>
      </c>
      <c r="M386" s="164"/>
      <c r="N386" s="164"/>
      <c r="O386" s="82" t="s">
        <v>54</v>
      </c>
      <c r="P386" s="41" t="s">
        <v>65</v>
      </c>
      <c r="Q386" s="67" t="s">
        <v>117</v>
      </c>
      <c r="R386" s="41" t="s">
        <v>116</v>
      </c>
      <c r="S386" s="78" t="s">
        <v>97</v>
      </c>
      <c r="T386" s="164"/>
      <c r="U386" s="168"/>
      <c r="V386" s="41" t="s">
        <v>54</v>
      </c>
      <c r="W386" s="41" t="s">
        <v>65</v>
      </c>
      <c r="X386" s="67" t="s">
        <v>117</v>
      </c>
      <c r="Y386" s="41" t="s">
        <v>116</v>
      </c>
      <c r="Z386" s="78" t="s">
        <v>97</v>
      </c>
      <c r="AA386" s="164"/>
      <c r="AB386" s="169"/>
      <c r="AC386" s="37"/>
      <c r="AD386" s="41"/>
      <c r="AE386" s="41"/>
      <c r="AF386" s="41"/>
    </row>
    <row r="387" spans="1:32" ht="16" customHeight="1" x14ac:dyDescent="0.2">
      <c r="A387" s="37"/>
      <c r="B387" s="174"/>
      <c r="C387" s="175"/>
      <c r="D387" s="82" t="s">
        <v>64</v>
      </c>
      <c r="E387" s="41">
        <v>1600</v>
      </c>
      <c r="F387" s="43">
        <f>L270</f>
        <v>4.5076195987654322E-3</v>
      </c>
      <c r="G387" s="53" t="s">
        <v>57</v>
      </c>
      <c r="H387" s="43" t="s">
        <v>103</v>
      </c>
      <c r="I387" s="43">
        <f>I386</f>
        <v>4.5076195987654322E-3</v>
      </c>
      <c r="J387" s="71"/>
      <c r="K387" s="52" t="str">
        <f t="shared" ref="K387:K390" si="85">IF(J387="","",ABS(I387-J387))</f>
        <v/>
      </c>
      <c r="L387" s="75" t="s">
        <v>98</v>
      </c>
      <c r="M387" s="164"/>
      <c r="N387" s="164"/>
      <c r="O387" s="82" t="s">
        <v>121</v>
      </c>
      <c r="P387" s="43">
        <f>S272</f>
        <v>3.7268518518518519E-3</v>
      </c>
      <c r="Q387" s="71"/>
      <c r="R387" s="52" t="str">
        <f>IF(Q387="","",ABS(P387-Q387))</f>
        <v/>
      </c>
      <c r="S387" s="78" t="s">
        <v>98</v>
      </c>
      <c r="T387" s="164"/>
      <c r="U387" s="168"/>
      <c r="V387" s="41" t="s">
        <v>139</v>
      </c>
      <c r="W387" s="43">
        <f>Z270+13/86400</f>
        <v>3.354552469135802E-3</v>
      </c>
      <c r="X387" s="71"/>
      <c r="Y387" s="52" t="str">
        <f>IF(X387="","",ABS(W387-X387))</f>
        <v/>
      </c>
      <c r="Z387" s="78" t="s">
        <v>98</v>
      </c>
      <c r="AA387" s="164"/>
      <c r="AB387" s="169"/>
      <c r="AC387" s="37"/>
      <c r="AD387" s="41"/>
      <c r="AE387" s="41"/>
      <c r="AF387" s="41"/>
    </row>
    <row r="388" spans="1:32" ht="16" customHeight="1" x14ac:dyDescent="0.2">
      <c r="A388" s="37"/>
      <c r="B388" s="174"/>
      <c r="C388" s="175"/>
      <c r="D388" s="165" t="s">
        <v>111</v>
      </c>
      <c r="E388" s="166"/>
      <c r="F388" s="166"/>
      <c r="G388" s="167"/>
      <c r="H388" s="43" t="s">
        <v>104</v>
      </c>
      <c r="I388" s="43">
        <f>I387</f>
        <v>4.5076195987654322E-3</v>
      </c>
      <c r="J388" s="71"/>
      <c r="K388" s="52" t="str">
        <f t="shared" si="85"/>
        <v/>
      </c>
      <c r="L388" s="170" t="s">
        <v>112</v>
      </c>
      <c r="M388" s="171"/>
      <c r="N388" s="90"/>
      <c r="O388" s="165" t="s">
        <v>111</v>
      </c>
      <c r="P388" s="166"/>
      <c r="Q388" s="166"/>
      <c r="R388" s="167"/>
      <c r="S388" s="170" t="s">
        <v>112</v>
      </c>
      <c r="T388" s="171"/>
      <c r="U388" s="83"/>
      <c r="V388" s="166" t="s">
        <v>111</v>
      </c>
      <c r="W388" s="166"/>
      <c r="X388" s="166"/>
      <c r="Y388" s="167"/>
      <c r="Z388" s="170" t="s">
        <v>112</v>
      </c>
      <c r="AA388" s="171"/>
      <c r="AB388" s="80"/>
      <c r="AC388" s="37"/>
      <c r="AD388" s="41"/>
      <c r="AE388" s="41"/>
      <c r="AF388" s="41"/>
    </row>
    <row r="389" spans="1:32" ht="16" customHeight="1" x14ac:dyDescent="0.2">
      <c r="A389" s="37"/>
      <c r="B389" s="174"/>
      <c r="C389" s="175"/>
      <c r="D389" s="82"/>
      <c r="E389" s="41"/>
      <c r="F389" s="43"/>
      <c r="G389" s="53"/>
      <c r="H389" s="43"/>
      <c r="I389" s="43"/>
      <c r="J389" s="43"/>
      <c r="K389" s="52" t="str">
        <f t="shared" si="85"/>
        <v/>
      </c>
      <c r="L389" s="163" t="s">
        <v>88</v>
      </c>
      <c r="M389" s="164"/>
      <c r="N389" s="164"/>
      <c r="O389" s="82"/>
      <c r="P389" s="43"/>
      <c r="Q389" s="43"/>
      <c r="R389" s="52"/>
      <c r="S389" s="163" t="s">
        <v>88</v>
      </c>
      <c r="T389" s="164"/>
      <c r="U389" s="168"/>
      <c r="V389" s="30"/>
      <c r="W389" s="30"/>
      <c r="X389" s="30"/>
      <c r="Y389" s="30"/>
      <c r="Z389" s="163" t="s">
        <v>88</v>
      </c>
      <c r="AA389" s="164"/>
      <c r="AB389" s="169"/>
      <c r="AC389" s="37"/>
      <c r="AD389" s="41"/>
      <c r="AE389" s="41"/>
      <c r="AF389" s="41"/>
    </row>
    <row r="390" spans="1:32" ht="16" customHeight="1" thickBot="1" x14ac:dyDescent="0.25">
      <c r="A390" s="37"/>
      <c r="B390" s="174"/>
      <c r="C390" s="175"/>
      <c r="D390" s="165"/>
      <c r="E390" s="166"/>
      <c r="F390" s="166"/>
      <c r="G390" s="167"/>
      <c r="H390" s="43"/>
      <c r="I390" s="43"/>
      <c r="J390" s="43"/>
      <c r="K390" s="52" t="str">
        <f t="shared" si="85"/>
        <v/>
      </c>
      <c r="L390" s="163"/>
      <c r="M390" s="164"/>
      <c r="N390" s="164"/>
      <c r="O390" s="165"/>
      <c r="P390" s="166"/>
      <c r="Q390" s="166"/>
      <c r="R390" s="167"/>
      <c r="S390" s="163"/>
      <c r="T390" s="164"/>
      <c r="U390" s="168"/>
      <c r="V390" s="30"/>
      <c r="W390" s="30"/>
      <c r="X390" s="30"/>
      <c r="Y390" s="30"/>
      <c r="Z390" s="163"/>
      <c r="AA390" s="164"/>
      <c r="AB390" s="169"/>
      <c r="AC390" s="37"/>
      <c r="AD390" s="41"/>
      <c r="AE390" s="41"/>
      <c r="AF390" s="41"/>
    </row>
    <row r="391" spans="1:32" ht="16" customHeight="1" x14ac:dyDescent="0.2">
      <c r="A391" s="37"/>
      <c r="B391" s="172">
        <f>B383+1</f>
        <v>13</v>
      </c>
      <c r="C391" s="173"/>
      <c r="D391" s="178">
        <f>D273+(B391-1)*7</f>
        <v>42738</v>
      </c>
      <c r="E391" s="179"/>
      <c r="F391" s="179"/>
      <c r="G391" s="179"/>
      <c r="H391" s="179"/>
      <c r="I391" s="179"/>
      <c r="J391" s="179"/>
      <c r="K391" s="179"/>
      <c r="L391" s="179"/>
      <c r="M391" s="179"/>
      <c r="N391" s="179"/>
      <c r="O391" s="178">
        <f>O273+(B391-1)*7</f>
        <v>42741</v>
      </c>
      <c r="P391" s="179"/>
      <c r="Q391" s="179"/>
      <c r="R391" s="179"/>
      <c r="S391" s="179"/>
      <c r="T391" s="179"/>
      <c r="U391" s="180"/>
      <c r="V391" s="179">
        <f>V273+(B391-1)*7</f>
        <v>42743</v>
      </c>
      <c r="W391" s="179"/>
      <c r="X391" s="179"/>
      <c r="Y391" s="179"/>
      <c r="Z391" s="179"/>
      <c r="AA391" s="179"/>
      <c r="AB391" s="181"/>
      <c r="AC391" s="37"/>
      <c r="AD391" s="41"/>
      <c r="AE391" s="41"/>
      <c r="AF391" s="41"/>
    </row>
    <row r="392" spans="1:32" ht="16" customHeight="1" x14ac:dyDescent="0.2">
      <c r="A392" s="37"/>
      <c r="B392" s="174"/>
      <c r="C392" s="175"/>
      <c r="D392" s="182" t="s">
        <v>99</v>
      </c>
      <c r="E392" s="183"/>
      <c r="F392" s="183"/>
      <c r="G392" s="184"/>
      <c r="H392" s="185" t="s">
        <v>101</v>
      </c>
      <c r="I392" s="183"/>
      <c r="J392" s="183"/>
      <c r="K392" s="184"/>
      <c r="L392" s="183" t="s">
        <v>100</v>
      </c>
      <c r="M392" s="183"/>
      <c r="N392" s="183"/>
      <c r="O392" s="182" t="s">
        <v>99</v>
      </c>
      <c r="P392" s="183"/>
      <c r="Q392" s="183"/>
      <c r="R392" s="183"/>
      <c r="S392" s="185" t="s">
        <v>100</v>
      </c>
      <c r="T392" s="183"/>
      <c r="U392" s="186"/>
      <c r="V392" s="183" t="s">
        <v>99</v>
      </c>
      <c r="W392" s="183"/>
      <c r="X392" s="183"/>
      <c r="Y392" s="183"/>
      <c r="Z392" s="185" t="s">
        <v>100</v>
      </c>
      <c r="AA392" s="183"/>
      <c r="AB392" s="187"/>
      <c r="AC392" s="104"/>
      <c r="AD392" s="30"/>
      <c r="AE392" s="41"/>
      <c r="AF392" s="41"/>
    </row>
    <row r="393" spans="1:32" ht="16" customHeight="1" x14ac:dyDescent="0.2">
      <c r="A393" s="37"/>
      <c r="B393" s="174"/>
      <c r="C393" s="175"/>
      <c r="D393" s="188" t="s">
        <v>110</v>
      </c>
      <c r="E393" s="189"/>
      <c r="F393" s="189"/>
      <c r="G393" s="190"/>
      <c r="H393" s="43" t="s">
        <v>113</v>
      </c>
      <c r="I393" s="43" t="s">
        <v>114</v>
      </c>
      <c r="J393" s="71" t="s">
        <v>115</v>
      </c>
      <c r="K393" s="53" t="s">
        <v>116</v>
      </c>
      <c r="L393" s="74" t="s">
        <v>96</v>
      </c>
      <c r="M393" s="191"/>
      <c r="N393" s="191"/>
      <c r="O393" s="188" t="s">
        <v>110</v>
      </c>
      <c r="P393" s="189"/>
      <c r="Q393" s="189"/>
      <c r="R393" s="189"/>
      <c r="S393" s="77" t="s">
        <v>96</v>
      </c>
      <c r="T393" s="191"/>
      <c r="U393" s="192"/>
      <c r="V393" s="189" t="s">
        <v>110</v>
      </c>
      <c r="W393" s="189"/>
      <c r="X393" s="189"/>
      <c r="Y393" s="189"/>
      <c r="Z393" s="77" t="s">
        <v>96</v>
      </c>
      <c r="AA393" s="191"/>
      <c r="AB393" s="193"/>
      <c r="AC393" s="37"/>
      <c r="AD393" s="41"/>
      <c r="AE393" s="41"/>
      <c r="AF393" s="41"/>
    </row>
    <row r="394" spans="1:32" ht="16" customHeight="1" x14ac:dyDescent="0.2">
      <c r="A394" s="37"/>
      <c r="B394" s="174"/>
      <c r="C394" s="175"/>
      <c r="D394" s="82" t="s">
        <v>53</v>
      </c>
      <c r="E394" s="41" t="s">
        <v>54</v>
      </c>
      <c r="F394" s="41" t="s">
        <v>90</v>
      </c>
      <c r="G394" s="53" t="s">
        <v>55</v>
      </c>
      <c r="H394" s="43" t="s">
        <v>102</v>
      </c>
      <c r="I394" s="43">
        <f>F395</f>
        <v>1.0551697530864197E-3</v>
      </c>
      <c r="J394" s="71"/>
      <c r="K394" s="52" t="str">
        <f>IF(J394="","",ABS(I394-J394))</f>
        <v/>
      </c>
      <c r="L394" s="75" t="s">
        <v>97</v>
      </c>
      <c r="M394" s="164"/>
      <c r="N394" s="164"/>
      <c r="O394" s="82" t="s">
        <v>54</v>
      </c>
      <c r="P394" s="41" t="s">
        <v>65</v>
      </c>
      <c r="Q394" s="67" t="s">
        <v>117</v>
      </c>
      <c r="R394" s="41" t="s">
        <v>116</v>
      </c>
      <c r="S394" s="78" t="s">
        <v>97</v>
      </c>
      <c r="T394" s="164"/>
      <c r="U394" s="168"/>
      <c r="V394" s="41" t="s">
        <v>54</v>
      </c>
      <c r="W394" s="41" t="s">
        <v>65</v>
      </c>
      <c r="X394" s="67" t="s">
        <v>117</v>
      </c>
      <c r="Y394" s="41" t="s">
        <v>116</v>
      </c>
      <c r="Z394" s="78" t="s">
        <v>97</v>
      </c>
      <c r="AA394" s="164"/>
      <c r="AB394" s="169"/>
      <c r="AC394" s="37"/>
      <c r="AD394" s="41"/>
      <c r="AE394" s="41"/>
      <c r="AF394" s="41"/>
    </row>
    <row r="395" spans="1:32" ht="16" customHeight="1" x14ac:dyDescent="0.2">
      <c r="A395" s="37"/>
      <c r="B395" s="174"/>
      <c r="C395" s="175"/>
      <c r="D395" s="82" t="s">
        <v>62</v>
      </c>
      <c r="E395" s="41">
        <v>400</v>
      </c>
      <c r="F395" s="43">
        <f>F269</f>
        <v>1.0551697530864197E-3</v>
      </c>
      <c r="G395" s="53" t="s">
        <v>57</v>
      </c>
      <c r="H395" s="43" t="s">
        <v>103</v>
      </c>
      <c r="I395" s="43">
        <f>I394</f>
        <v>1.0551697530864197E-3</v>
      </c>
      <c r="J395" s="71"/>
      <c r="K395" s="52" t="str">
        <f t="shared" ref="K395:K401" si="86">IF(J395="","",ABS(I395-J395))</f>
        <v/>
      </c>
      <c r="L395" s="75" t="s">
        <v>98</v>
      </c>
      <c r="M395" s="164"/>
      <c r="N395" s="164"/>
      <c r="O395" s="82" t="s">
        <v>122</v>
      </c>
      <c r="P395" s="43">
        <f>S272</f>
        <v>3.7268518518518519E-3</v>
      </c>
      <c r="Q395" s="71"/>
      <c r="R395" s="52" t="str">
        <f>IF(Q395="","",ABS(P395-Q395))</f>
        <v/>
      </c>
      <c r="S395" s="78" t="s">
        <v>98</v>
      </c>
      <c r="T395" s="164"/>
      <c r="U395" s="168"/>
      <c r="V395" s="41" t="s">
        <v>152</v>
      </c>
      <c r="W395" s="43">
        <f>Z270+19/86400</f>
        <v>3.4239969135802465E-3</v>
      </c>
      <c r="X395" s="71"/>
      <c r="Y395" s="52" t="str">
        <f>IF(X395="","",ABS(W395-X395))</f>
        <v/>
      </c>
      <c r="Z395" s="78" t="s">
        <v>98</v>
      </c>
      <c r="AA395" s="164"/>
      <c r="AB395" s="169"/>
      <c r="AC395" s="37"/>
      <c r="AD395" s="41"/>
      <c r="AE395" s="41"/>
      <c r="AF395" s="41"/>
    </row>
    <row r="396" spans="1:32" ht="16" customHeight="1" x14ac:dyDescent="0.2">
      <c r="A396" s="37"/>
      <c r="B396" s="174"/>
      <c r="C396" s="175"/>
      <c r="D396" s="165" t="s">
        <v>111</v>
      </c>
      <c r="E396" s="166"/>
      <c r="F396" s="166"/>
      <c r="G396" s="167"/>
      <c r="H396" s="43" t="s">
        <v>104</v>
      </c>
      <c r="I396" s="43">
        <f t="shared" ref="I396:I401" si="87">I395</f>
        <v>1.0551697530864197E-3</v>
      </c>
      <c r="J396" s="71"/>
      <c r="K396" s="52" t="str">
        <f t="shared" si="86"/>
        <v/>
      </c>
      <c r="L396" s="170" t="s">
        <v>112</v>
      </c>
      <c r="M396" s="171"/>
      <c r="N396" s="90"/>
      <c r="O396" s="82" t="s">
        <v>119</v>
      </c>
      <c r="P396" s="43">
        <f>S270</f>
        <v>3.1481481481481482E-3</v>
      </c>
      <c r="Q396" s="71"/>
      <c r="R396" s="52" t="str">
        <f t="shared" ref="R396:R397" si="88">IF(Q396="","",ABS(P396-Q396))</f>
        <v/>
      </c>
      <c r="S396" s="170" t="s">
        <v>112</v>
      </c>
      <c r="T396" s="171"/>
      <c r="U396" s="83"/>
      <c r="V396" s="166" t="s">
        <v>111</v>
      </c>
      <c r="W396" s="166"/>
      <c r="X396" s="166"/>
      <c r="Y396" s="167"/>
      <c r="Z396" s="170" t="s">
        <v>112</v>
      </c>
      <c r="AA396" s="171"/>
      <c r="AB396" s="80"/>
      <c r="AC396" s="37"/>
      <c r="AD396" s="41"/>
      <c r="AE396" s="41"/>
      <c r="AF396" s="41"/>
    </row>
    <row r="397" spans="1:32" ht="16" customHeight="1" x14ac:dyDescent="0.2">
      <c r="A397" s="37"/>
      <c r="B397" s="174"/>
      <c r="C397" s="175"/>
      <c r="D397" s="165"/>
      <c r="E397" s="166"/>
      <c r="F397" s="166"/>
      <c r="G397" s="167"/>
      <c r="H397" s="43" t="s">
        <v>105</v>
      </c>
      <c r="I397" s="43">
        <f t="shared" si="87"/>
        <v>1.0551697530864197E-3</v>
      </c>
      <c r="J397" s="71"/>
      <c r="K397" s="52" t="str">
        <f t="shared" si="86"/>
        <v/>
      </c>
      <c r="L397" s="163" t="s">
        <v>88</v>
      </c>
      <c r="M397" s="164"/>
      <c r="N397" s="164"/>
      <c r="O397" s="82" t="s">
        <v>122</v>
      </c>
      <c r="P397" s="43">
        <f>P395</f>
        <v>3.7268518518518519E-3</v>
      </c>
      <c r="Q397" s="71"/>
      <c r="R397" s="52" t="str">
        <f t="shared" si="88"/>
        <v/>
      </c>
      <c r="S397" s="163" t="s">
        <v>88</v>
      </c>
      <c r="T397" s="164"/>
      <c r="U397" s="168"/>
      <c r="V397" s="30"/>
      <c r="W397" s="30"/>
      <c r="X397" s="30"/>
      <c r="Y397" s="30"/>
      <c r="Z397" s="163" t="s">
        <v>88</v>
      </c>
      <c r="AA397" s="164"/>
      <c r="AB397" s="169"/>
      <c r="AC397" s="37"/>
      <c r="AD397" s="41"/>
      <c r="AE397" s="41"/>
      <c r="AF397" s="41"/>
    </row>
    <row r="398" spans="1:32" ht="16" customHeight="1" x14ac:dyDescent="0.2">
      <c r="A398" s="37"/>
      <c r="B398" s="174"/>
      <c r="C398" s="175"/>
      <c r="D398" s="84"/>
      <c r="E398" s="43"/>
      <c r="F398" s="43"/>
      <c r="G398" s="53"/>
      <c r="H398" s="43" t="s">
        <v>106</v>
      </c>
      <c r="I398" s="43">
        <f t="shared" si="87"/>
        <v>1.0551697530864197E-3</v>
      </c>
      <c r="J398" s="71"/>
      <c r="K398" s="52" t="str">
        <f t="shared" si="86"/>
        <v/>
      </c>
      <c r="L398" s="163"/>
      <c r="M398" s="164"/>
      <c r="N398" s="164"/>
      <c r="O398" s="165" t="s">
        <v>111</v>
      </c>
      <c r="P398" s="166"/>
      <c r="Q398" s="166"/>
      <c r="R398" s="167"/>
      <c r="S398" s="163"/>
      <c r="T398" s="164"/>
      <c r="U398" s="168"/>
      <c r="V398" s="30"/>
      <c r="W398" s="30"/>
      <c r="X398" s="30"/>
      <c r="Y398" s="30"/>
      <c r="Z398" s="163"/>
      <c r="AA398" s="164"/>
      <c r="AB398" s="169"/>
      <c r="AC398" s="37"/>
      <c r="AD398" s="41"/>
      <c r="AE398" s="41"/>
      <c r="AF398" s="41"/>
    </row>
    <row r="399" spans="1:32" ht="16" customHeight="1" x14ac:dyDescent="0.2">
      <c r="A399" s="37"/>
      <c r="B399" s="174"/>
      <c r="C399" s="175"/>
      <c r="D399" s="84"/>
      <c r="E399" s="43"/>
      <c r="F399" s="43"/>
      <c r="G399" s="53"/>
      <c r="H399" s="43" t="s">
        <v>107</v>
      </c>
      <c r="I399" s="43">
        <f t="shared" si="87"/>
        <v>1.0551697530864197E-3</v>
      </c>
      <c r="J399" s="71"/>
      <c r="K399" s="52" t="str">
        <f t="shared" si="86"/>
        <v/>
      </c>
      <c r="L399" s="41"/>
      <c r="M399" s="41"/>
      <c r="N399" s="30"/>
      <c r="O399" s="82"/>
      <c r="P399" s="43"/>
      <c r="Q399" s="43"/>
      <c r="R399" s="76"/>
      <c r="S399" s="50"/>
      <c r="T399" s="41"/>
      <c r="U399" s="85"/>
      <c r="V399" s="30"/>
      <c r="W399" s="30"/>
      <c r="X399" s="30"/>
      <c r="Y399" s="30"/>
      <c r="Z399" s="50"/>
      <c r="AA399" s="41"/>
      <c r="AB399" s="35"/>
      <c r="AC399" s="37"/>
      <c r="AD399" s="41"/>
      <c r="AE399" s="41"/>
      <c r="AF399" s="41"/>
    </row>
    <row r="400" spans="1:32" ht="16" customHeight="1" x14ac:dyDescent="0.2">
      <c r="A400" s="37"/>
      <c r="B400" s="174"/>
      <c r="C400" s="175"/>
      <c r="D400" s="84"/>
      <c r="E400" s="43"/>
      <c r="F400" s="43"/>
      <c r="G400" s="53"/>
      <c r="H400" s="43" t="s">
        <v>108</v>
      </c>
      <c r="I400" s="43">
        <f t="shared" si="87"/>
        <v>1.0551697530864197E-3</v>
      </c>
      <c r="J400" s="71"/>
      <c r="K400" s="52" t="str">
        <f t="shared" si="86"/>
        <v/>
      </c>
      <c r="L400" s="41"/>
      <c r="M400" s="41"/>
      <c r="N400" s="41"/>
      <c r="O400" s="165"/>
      <c r="P400" s="166"/>
      <c r="Q400" s="166"/>
      <c r="R400" s="167"/>
      <c r="S400" s="50"/>
      <c r="T400" s="41"/>
      <c r="U400" s="85"/>
      <c r="V400" s="30"/>
      <c r="W400" s="30"/>
      <c r="X400" s="30"/>
      <c r="Y400" s="30"/>
      <c r="Z400" s="50"/>
      <c r="AA400" s="41"/>
      <c r="AB400" s="44"/>
      <c r="AC400" s="37"/>
      <c r="AD400" s="41"/>
      <c r="AE400" s="41"/>
      <c r="AF400" s="41"/>
    </row>
    <row r="401" spans="1:32" ht="16" customHeight="1" x14ac:dyDescent="0.2">
      <c r="A401" s="37"/>
      <c r="B401" s="174"/>
      <c r="C401" s="175"/>
      <c r="D401" s="84"/>
      <c r="E401" s="43"/>
      <c r="F401" s="43"/>
      <c r="G401" s="53"/>
      <c r="H401" s="43" t="s">
        <v>109</v>
      </c>
      <c r="I401" s="43">
        <f t="shared" si="87"/>
        <v>1.0551697530864197E-3</v>
      </c>
      <c r="J401" s="71"/>
      <c r="K401" s="52" t="str">
        <f t="shared" si="86"/>
        <v/>
      </c>
      <c r="L401" s="41"/>
      <c r="M401" s="41"/>
      <c r="N401" s="30"/>
      <c r="O401" s="82"/>
      <c r="P401" s="41"/>
      <c r="Q401" s="41"/>
      <c r="R401" s="41"/>
      <c r="S401" s="50"/>
      <c r="T401" s="41"/>
      <c r="U401" s="85"/>
      <c r="V401" s="30"/>
      <c r="W401" s="30"/>
      <c r="X401" s="30"/>
      <c r="Y401" s="30"/>
      <c r="Z401" s="50"/>
      <c r="AA401" s="41"/>
      <c r="AB401" s="35"/>
      <c r="AC401" s="37"/>
      <c r="AD401" s="41"/>
      <c r="AE401" s="41"/>
      <c r="AF401" s="41"/>
    </row>
    <row r="402" spans="1:32" ht="16" customHeight="1" x14ac:dyDescent="0.2">
      <c r="A402" s="37"/>
      <c r="B402" s="174"/>
      <c r="C402" s="175"/>
      <c r="D402" s="84"/>
      <c r="E402" s="43"/>
      <c r="F402" s="43"/>
      <c r="G402" s="53"/>
      <c r="H402" s="43" t="s">
        <v>125</v>
      </c>
      <c r="I402" s="43">
        <f>I401</f>
        <v>1.0551697530864197E-3</v>
      </c>
      <c r="J402" s="71"/>
      <c r="K402" s="52" t="str">
        <f>IF(J402="","",ABS(I402-J402))</f>
        <v/>
      </c>
      <c r="L402" s="41"/>
      <c r="M402" s="41"/>
      <c r="N402" s="41"/>
      <c r="O402" s="82"/>
      <c r="P402" s="41"/>
      <c r="Q402" s="41"/>
      <c r="R402" s="41"/>
      <c r="S402" s="50"/>
      <c r="T402" s="41"/>
      <c r="U402" s="86"/>
      <c r="V402" s="30"/>
      <c r="W402" s="30"/>
      <c r="X402" s="30"/>
      <c r="Y402" s="30"/>
      <c r="Z402" s="50"/>
      <c r="AA402" s="41"/>
      <c r="AB402" s="44"/>
      <c r="AC402" s="37"/>
      <c r="AD402" s="41"/>
      <c r="AE402" s="41"/>
      <c r="AF402" s="41"/>
    </row>
    <row r="403" spans="1:32" ht="16" customHeight="1" thickBot="1" x14ac:dyDescent="0.25">
      <c r="A403" s="37"/>
      <c r="B403" s="198"/>
      <c r="C403" s="199"/>
      <c r="D403" s="87"/>
      <c r="E403" s="40"/>
      <c r="F403" s="40"/>
      <c r="G403" s="51"/>
      <c r="H403" s="43" t="s">
        <v>151</v>
      </c>
      <c r="I403" s="43">
        <f>I402</f>
        <v>1.0551697530864197E-3</v>
      </c>
      <c r="J403" s="72"/>
      <c r="K403" s="52" t="str">
        <f>IF(J403="","",ABS(I403-J403))</f>
        <v/>
      </c>
      <c r="L403" s="194"/>
      <c r="M403" s="195"/>
      <c r="N403" s="195"/>
      <c r="O403" s="97"/>
      <c r="P403" s="42"/>
      <c r="Q403" s="42"/>
      <c r="R403" s="42"/>
      <c r="S403" s="194"/>
      <c r="T403" s="195"/>
      <c r="U403" s="196"/>
      <c r="V403" s="34"/>
      <c r="W403" s="34"/>
      <c r="X403" s="34"/>
      <c r="Y403" s="34"/>
      <c r="Z403" s="194"/>
      <c r="AA403" s="195"/>
      <c r="AB403" s="197"/>
      <c r="AC403" s="37"/>
      <c r="AD403" s="41"/>
      <c r="AE403" s="41"/>
      <c r="AF403" s="41"/>
    </row>
    <row r="404" spans="1:32" ht="16" customHeight="1" x14ac:dyDescent="0.2">
      <c r="A404" s="37"/>
      <c r="B404" s="172">
        <f>B391+1</f>
        <v>14</v>
      </c>
      <c r="C404" s="173"/>
      <c r="D404" s="178">
        <f>D273+(B404-1)*7</f>
        <v>42745</v>
      </c>
      <c r="E404" s="179"/>
      <c r="F404" s="179"/>
      <c r="G404" s="179"/>
      <c r="H404" s="179"/>
      <c r="I404" s="179"/>
      <c r="J404" s="179"/>
      <c r="K404" s="179"/>
      <c r="L404" s="179"/>
      <c r="M404" s="179"/>
      <c r="N404" s="179"/>
      <c r="O404" s="178">
        <f>O273+(B404-1)*7</f>
        <v>42748</v>
      </c>
      <c r="P404" s="179"/>
      <c r="Q404" s="179"/>
      <c r="R404" s="179"/>
      <c r="S404" s="179"/>
      <c r="T404" s="179"/>
      <c r="U404" s="180"/>
      <c r="V404" s="179">
        <f>V273+(B404-1)*7</f>
        <v>42750</v>
      </c>
      <c r="W404" s="179"/>
      <c r="X404" s="179"/>
      <c r="Y404" s="179"/>
      <c r="Z404" s="179"/>
      <c r="AA404" s="179"/>
      <c r="AB404" s="181"/>
      <c r="AC404" s="37"/>
      <c r="AD404" s="41"/>
      <c r="AE404" s="41"/>
      <c r="AF404" s="41"/>
    </row>
    <row r="405" spans="1:32" ht="16" customHeight="1" x14ac:dyDescent="0.2">
      <c r="A405" s="37"/>
      <c r="B405" s="174"/>
      <c r="C405" s="175"/>
      <c r="D405" s="182" t="s">
        <v>99</v>
      </c>
      <c r="E405" s="183"/>
      <c r="F405" s="183"/>
      <c r="G405" s="184"/>
      <c r="H405" s="185" t="s">
        <v>101</v>
      </c>
      <c r="I405" s="183"/>
      <c r="J405" s="183"/>
      <c r="K405" s="184"/>
      <c r="L405" s="183" t="s">
        <v>100</v>
      </c>
      <c r="M405" s="183"/>
      <c r="N405" s="183"/>
      <c r="O405" s="182" t="s">
        <v>99</v>
      </c>
      <c r="P405" s="183"/>
      <c r="Q405" s="183"/>
      <c r="R405" s="183"/>
      <c r="S405" s="185" t="s">
        <v>100</v>
      </c>
      <c r="T405" s="183"/>
      <c r="U405" s="186"/>
      <c r="V405" s="183" t="s">
        <v>99</v>
      </c>
      <c r="W405" s="183"/>
      <c r="X405" s="183"/>
      <c r="Y405" s="183"/>
      <c r="Z405" s="185" t="s">
        <v>100</v>
      </c>
      <c r="AA405" s="183"/>
      <c r="AB405" s="187"/>
      <c r="AC405" s="37"/>
      <c r="AD405" s="41"/>
      <c r="AE405" s="41"/>
      <c r="AF405" s="41"/>
    </row>
    <row r="406" spans="1:32" ht="16" customHeight="1" x14ac:dyDescent="0.2">
      <c r="A406" s="37"/>
      <c r="B406" s="174"/>
      <c r="C406" s="175"/>
      <c r="D406" s="188" t="s">
        <v>110</v>
      </c>
      <c r="E406" s="189"/>
      <c r="F406" s="189"/>
      <c r="G406" s="190"/>
      <c r="H406" s="43" t="s">
        <v>113</v>
      </c>
      <c r="I406" s="43" t="s">
        <v>114</v>
      </c>
      <c r="J406" s="71" t="s">
        <v>115</v>
      </c>
      <c r="K406" s="53" t="s">
        <v>116</v>
      </c>
      <c r="L406" s="74" t="s">
        <v>96</v>
      </c>
      <c r="M406" s="191"/>
      <c r="N406" s="191"/>
      <c r="O406" s="188" t="s">
        <v>110</v>
      </c>
      <c r="P406" s="189"/>
      <c r="Q406" s="189"/>
      <c r="R406" s="189"/>
      <c r="S406" s="77" t="s">
        <v>96</v>
      </c>
      <c r="T406" s="191"/>
      <c r="U406" s="192"/>
      <c r="V406" s="189" t="s">
        <v>110</v>
      </c>
      <c r="W406" s="189"/>
      <c r="X406" s="189"/>
      <c r="Y406" s="189"/>
      <c r="Z406" s="77" t="s">
        <v>96</v>
      </c>
      <c r="AA406" s="191"/>
      <c r="AB406" s="193"/>
      <c r="AC406" s="37"/>
      <c r="AD406" s="41"/>
      <c r="AE406" s="41"/>
      <c r="AF406" s="41"/>
    </row>
    <row r="407" spans="1:32" ht="16" customHeight="1" x14ac:dyDescent="0.2">
      <c r="A407" s="37"/>
      <c r="B407" s="174"/>
      <c r="C407" s="175"/>
      <c r="D407" s="82" t="s">
        <v>53</v>
      </c>
      <c r="E407" s="41" t="s">
        <v>54</v>
      </c>
      <c r="F407" s="41" t="s">
        <v>90</v>
      </c>
      <c r="G407" s="53" t="s">
        <v>55</v>
      </c>
      <c r="H407" s="43" t="s">
        <v>102</v>
      </c>
      <c r="I407" s="43">
        <f>F408</f>
        <v>3.3135609567901229E-3</v>
      </c>
      <c r="J407" s="71"/>
      <c r="K407" s="52" t="str">
        <f>IF(J407="","",ABS(I407-J407))</f>
        <v/>
      </c>
      <c r="L407" s="75" t="s">
        <v>97</v>
      </c>
      <c r="M407" s="164"/>
      <c r="N407" s="164"/>
      <c r="O407" s="82" t="s">
        <v>54</v>
      </c>
      <c r="P407" s="41" t="s">
        <v>65</v>
      </c>
      <c r="Q407" s="67" t="s">
        <v>117</v>
      </c>
      <c r="R407" s="41" t="s">
        <v>116</v>
      </c>
      <c r="S407" s="78" t="s">
        <v>97</v>
      </c>
      <c r="T407" s="164"/>
      <c r="U407" s="168"/>
      <c r="V407" s="41" t="s">
        <v>54</v>
      </c>
      <c r="W407" s="41" t="s">
        <v>65</v>
      </c>
      <c r="X407" s="67" t="s">
        <v>117</v>
      </c>
      <c r="Y407" s="41" t="s">
        <v>116</v>
      </c>
      <c r="Z407" s="78" t="s">
        <v>97</v>
      </c>
      <c r="AA407" s="164"/>
      <c r="AB407" s="169"/>
      <c r="AC407" s="37"/>
      <c r="AD407" s="41"/>
      <c r="AE407" s="41"/>
      <c r="AF407" s="41"/>
    </row>
    <row r="408" spans="1:32" ht="16" customHeight="1" x14ac:dyDescent="0.2">
      <c r="A408" s="37"/>
      <c r="B408" s="174"/>
      <c r="C408" s="175"/>
      <c r="D408" s="82" t="s">
        <v>59</v>
      </c>
      <c r="E408" s="41">
        <v>1200</v>
      </c>
      <c r="F408" s="43">
        <f>L269</f>
        <v>3.3135609567901229E-3</v>
      </c>
      <c r="G408" s="53" t="s">
        <v>145</v>
      </c>
      <c r="H408" s="43" t="s">
        <v>103</v>
      </c>
      <c r="I408" s="43">
        <f>I407</f>
        <v>3.3135609567901229E-3</v>
      </c>
      <c r="J408" s="71"/>
      <c r="K408" s="52" t="str">
        <f t="shared" ref="K408:K412" si="89">IF(J408="","",ABS(I408-J408))</f>
        <v/>
      </c>
      <c r="L408" s="75" t="s">
        <v>98</v>
      </c>
      <c r="M408" s="164"/>
      <c r="N408" s="164"/>
      <c r="O408" s="82" t="s">
        <v>122</v>
      </c>
      <c r="P408" s="43">
        <f>S272</f>
        <v>3.7268518518518519E-3</v>
      </c>
      <c r="Q408" s="71"/>
      <c r="R408" s="76" t="str">
        <f>IF(Q408="","",ABS(P408-Q408))</f>
        <v/>
      </c>
      <c r="S408" s="78" t="s">
        <v>98</v>
      </c>
      <c r="T408" s="164"/>
      <c r="U408" s="168"/>
      <c r="V408" s="41" t="s">
        <v>146</v>
      </c>
      <c r="W408" s="43">
        <f>Z270+13/86400</f>
        <v>3.354552469135802E-3</v>
      </c>
      <c r="X408" s="71"/>
      <c r="Y408" s="52" t="str">
        <f>IF(X408="","",ABS(W408-X408))</f>
        <v/>
      </c>
      <c r="Z408" s="78" t="s">
        <v>98</v>
      </c>
      <c r="AA408" s="164"/>
      <c r="AB408" s="169"/>
      <c r="AC408" s="37"/>
      <c r="AD408" s="41"/>
      <c r="AE408" s="41"/>
      <c r="AF408" s="41"/>
    </row>
    <row r="409" spans="1:32" ht="16" customHeight="1" x14ac:dyDescent="0.2">
      <c r="A409" s="37"/>
      <c r="B409" s="174"/>
      <c r="C409" s="175"/>
      <c r="D409" s="82" t="s">
        <v>61</v>
      </c>
      <c r="E409" s="41">
        <v>800</v>
      </c>
      <c r="F409" s="43">
        <f>F271</f>
        <v>2.1566358024691359E-3</v>
      </c>
      <c r="G409" s="53" t="s">
        <v>145</v>
      </c>
      <c r="H409" s="43" t="s">
        <v>104</v>
      </c>
      <c r="I409" s="43">
        <f>F409</f>
        <v>2.1566358024691359E-3</v>
      </c>
      <c r="J409" s="71"/>
      <c r="K409" s="52" t="str">
        <f t="shared" si="89"/>
        <v/>
      </c>
      <c r="L409" s="170" t="s">
        <v>112</v>
      </c>
      <c r="M409" s="171"/>
      <c r="N409" s="90"/>
      <c r="O409" s="82" t="s">
        <v>119</v>
      </c>
      <c r="P409" s="43">
        <f>S270</f>
        <v>3.1481481481481482E-3</v>
      </c>
      <c r="Q409" s="71"/>
      <c r="R409" s="76" t="str">
        <f t="shared" ref="R409:R410" si="90">IF(Q409="","",ABS(P409-Q409))</f>
        <v/>
      </c>
      <c r="S409" s="170" t="s">
        <v>112</v>
      </c>
      <c r="T409" s="171"/>
      <c r="U409" s="83"/>
      <c r="V409" s="166" t="s">
        <v>111</v>
      </c>
      <c r="W409" s="166"/>
      <c r="X409" s="166"/>
      <c r="Y409" s="167"/>
      <c r="Z409" s="170" t="s">
        <v>112</v>
      </c>
      <c r="AA409" s="171"/>
      <c r="AB409" s="80"/>
      <c r="AC409" s="37"/>
      <c r="AD409" s="41"/>
      <c r="AE409" s="41"/>
      <c r="AF409" s="41"/>
    </row>
    <row r="410" spans="1:32" ht="16" customHeight="1" x14ac:dyDescent="0.2">
      <c r="A410" s="37"/>
      <c r="B410" s="174"/>
      <c r="C410" s="175"/>
      <c r="D410" s="165" t="s">
        <v>111</v>
      </c>
      <c r="E410" s="166"/>
      <c r="F410" s="166"/>
      <c r="G410" s="167"/>
      <c r="H410" s="43" t="s">
        <v>105</v>
      </c>
      <c r="I410" s="43">
        <f t="shared" ref="I410:I412" si="91">I409</f>
        <v>2.1566358024691359E-3</v>
      </c>
      <c r="J410" s="71"/>
      <c r="K410" s="52" t="str">
        <f t="shared" si="89"/>
        <v/>
      </c>
      <c r="L410" s="163" t="s">
        <v>88</v>
      </c>
      <c r="M410" s="164"/>
      <c r="N410" s="164"/>
      <c r="O410" s="82" t="s">
        <v>122</v>
      </c>
      <c r="P410" s="43">
        <f>S272</f>
        <v>3.7268518518518519E-3</v>
      </c>
      <c r="Q410" s="71"/>
      <c r="R410" s="76" t="str">
        <f t="shared" si="90"/>
        <v/>
      </c>
      <c r="S410" s="163" t="s">
        <v>88</v>
      </c>
      <c r="T410" s="164"/>
      <c r="U410" s="168"/>
      <c r="V410" s="30"/>
      <c r="W410" s="30"/>
      <c r="X410" s="30"/>
      <c r="Y410" s="30"/>
      <c r="Z410" s="163" t="s">
        <v>88</v>
      </c>
      <c r="AA410" s="164"/>
      <c r="AB410" s="169"/>
      <c r="AC410" s="37"/>
      <c r="AD410" s="41"/>
      <c r="AE410" s="41"/>
      <c r="AF410" s="41"/>
    </row>
    <row r="411" spans="1:32" ht="16" customHeight="1" x14ac:dyDescent="0.2">
      <c r="A411" s="37"/>
      <c r="B411" s="174"/>
      <c r="C411" s="175"/>
      <c r="D411" s="82"/>
      <c r="E411" s="41"/>
      <c r="F411" s="43"/>
      <c r="G411" s="53"/>
      <c r="H411" s="43" t="s">
        <v>106</v>
      </c>
      <c r="I411" s="43">
        <f t="shared" si="91"/>
        <v>2.1566358024691359E-3</v>
      </c>
      <c r="J411" s="71"/>
      <c r="K411" s="52" t="str">
        <f t="shared" si="89"/>
        <v/>
      </c>
      <c r="L411" s="163"/>
      <c r="M411" s="164"/>
      <c r="N411" s="164"/>
      <c r="O411" s="165" t="s">
        <v>111</v>
      </c>
      <c r="P411" s="166"/>
      <c r="Q411" s="166"/>
      <c r="R411" s="166"/>
      <c r="S411" s="163"/>
      <c r="T411" s="164"/>
      <c r="U411" s="168"/>
      <c r="V411" s="30"/>
      <c r="W411" s="30"/>
      <c r="X411" s="30"/>
      <c r="Y411" s="30"/>
      <c r="Z411" s="163"/>
      <c r="AA411" s="164"/>
      <c r="AB411" s="169"/>
      <c r="AC411" s="37"/>
      <c r="AD411" s="41"/>
      <c r="AE411" s="41"/>
      <c r="AF411" s="41"/>
    </row>
    <row r="412" spans="1:32" ht="16" customHeight="1" thickBot="1" x14ac:dyDescent="0.25">
      <c r="A412" s="37"/>
      <c r="B412" s="174"/>
      <c r="C412" s="175"/>
      <c r="D412" s="82"/>
      <c r="E412" s="41"/>
      <c r="F412" s="43"/>
      <c r="G412" s="53"/>
      <c r="H412" s="43" t="s">
        <v>107</v>
      </c>
      <c r="I412" s="43">
        <f t="shared" si="91"/>
        <v>2.1566358024691359E-3</v>
      </c>
      <c r="J412" s="71"/>
      <c r="K412" s="52" t="str">
        <f t="shared" si="89"/>
        <v/>
      </c>
      <c r="L412" s="41"/>
      <c r="M412" s="41"/>
      <c r="N412" s="30"/>
      <c r="O412" s="82"/>
      <c r="P412" s="43"/>
      <c r="Q412" s="43"/>
      <c r="R412" s="52"/>
      <c r="S412" s="50"/>
      <c r="T412" s="41"/>
      <c r="U412" s="85"/>
      <c r="V412" s="30"/>
      <c r="W412" s="30"/>
      <c r="X412" s="30"/>
      <c r="Y412" s="30"/>
      <c r="Z412" s="50"/>
      <c r="AA412" s="41"/>
      <c r="AB412" s="35"/>
      <c r="AC412" s="37"/>
      <c r="AD412" s="41"/>
      <c r="AE412" s="41"/>
      <c r="AF412" s="41"/>
    </row>
    <row r="413" spans="1:32" ht="16" customHeight="1" x14ac:dyDescent="0.2">
      <c r="A413" s="37"/>
      <c r="B413" s="172">
        <f>B404+1</f>
        <v>15</v>
      </c>
      <c r="C413" s="173"/>
      <c r="D413" s="178">
        <f>D273+(B413-1)*7</f>
        <v>42752</v>
      </c>
      <c r="E413" s="179"/>
      <c r="F413" s="179"/>
      <c r="G413" s="179"/>
      <c r="H413" s="179"/>
      <c r="I413" s="179"/>
      <c r="J413" s="179"/>
      <c r="K413" s="179"/>
      <c r="L413" s="179"/>
      <c r="M413" s="179"/>
      <c r="N413" s="179"/>
      <c r="O413" s="178">
        <f>O273+(B413-1)*7</f>
        <v>42755</v>
      </c>
      <c r="P413" s="179"/>
      <c r="Q413" s="179"/>
      <c r="R413" s="179"/>
      <c r="S413" s="179"/>
      <c r="T413" s="179"/>
      <c r="U413" s="180"/>
      <c r="V413" s="179">
        <f>V273+(B413-1)*7</f>
        <v>42757</v>
      </c>
      <c r="W413" s="179"/>
      <c r="X413" s="179"/>
      <c r="Y413" s="179"/>
      <c r="Z413" s="179"/>
      <c r="AA413" s="179"/>
      <c r="AB413" s="181"/>
      <c r="AC413" s="37"/>
      <c r="AD413" s="41"/>
      <c r="AE413" s="41"/>
      <c r="AF413" s="41"/>
    </row>
    <row r="414" spans="1:32" ht="16" customHeight="1" x14ac:dyDescent="0.2">
      <c r="A414" s="37"/>
      <c r="B414" s="174"/>
      <c r="C414" s="175"/>
      <c r="D414" s="182" t="s">
        <v>99</v>
      </c>
      <c r="E414" s="183"/>
      <c r="F414" s="183"/>
      <c r="G414" s="184"/>
      <c r="H414" s="185" t="s">
        <v>101</v>
      </c>
      <c r="I414" s="183"/>
      <c r="J414" s="183"/>
      <c r="K414" s="184"/>
      <c r="L414" s="183" t="s">
        <v>100</v>
      </c>
      <c r="M414" s="183"/>
      <c r="N414" s="183"/>
      <c r="O414" s="182" t="s">
        <v>99</v>
      </c>
      <c r="P414" s="183"/>
      <c r="Q414" s="183"/>
      <c r="R414" s="183"/>
      <c r="S414" s="185" t="s">
        <v>100</v>
      </c>
      <c r="T414" s="183"/>
      <c r="U414" s="186"/>
      <c r="V414" s="183" t="s">
        <v>99</v>
      </c>
      <c r="W414" s="183"/>
      <c r="X414" s="183"/>
      <c r="Y414" s="183"/>
      <c r="Z414" s="185" t="s">
        <v>100</v>
      </c>
      <c r="AA414" s="183"/>
      <c r="AB414" s="187"/>
      <c r="AC414" s="37"/>
      <c r="AD414" s="41"/>
      <c r="AE414" s="41"/>
      <c r="AF414" s="41"/>
    </row>
    <row r="415" spans="1:32" ht="16" customHeight="1" x14ac:dyDescent="0.2">
      <c r="A415" s="37"/>
      <c r="B415" s="174"/>
      <c r="C415" s="175"/>
      <c r="D415" s="188" t="s">
        <v>110</v>
      </c>
      <c r="E415" s="189"/>
      <c r="F415" s="189"/>
      <c r="G415" s="190"/>
      <c r="H415" s="43" t="s">
        <v>113</v>
      </c>
      <c r="I415" s="43" t="s">
        <v>114</v>
      </c>
      <c r="J415" s="71" t="s">
        <v>115</v>
      </c>
      <c r="K415" s="53" t="s">
        <v>116</v>
      </c>
      <c r="L415" s="74" t="s">
        <v>96</v>
      </c>
      <c r="M415" s="191"/>
      <c r="N415" s="191"/>
      <c r="O415" s="188" t="s">
        <v>110</v>
      </c>
      <c r="P415" s="189"/>
      <c r="Q415" s="189"/>
      <c r="R415" s="189"/>
      <c r="S415" s="77" t="s">
        <v>96</v>
      </c>
      <c r="T415" s="191"/>
      <c r="U415" s="192"/>
      <c r="V415" s="189" t="s">
        <v>110</v>
      </c>
      <c r="W415" s="189"/>
      <c r="X415" s="189"/>
      <c r="Y415" s="189"/>
      <c r="Z415" s="77" t="s">
        <v>96</v>
      </c>
      <c r="AA415" s="191"/>
      <c r="AB415" s="193"/>
      <c r="AC415" s="37"/>
      <c r="AD415" s="41"/>
      <c r="AE415" s="41"/>
      <c r="AF415" s="41"/>
    </row>
    <row r="416" spans="1:32" ht="16" customHeight="1" x14ac:dyDescent="0.2">
      <c r="A416" s="37"/>
      <c r="B416" s="174"/>
      <c r="C416" s="175"/>
      <c r="D416" s="82" t="s">
        <v>53</v>
      </c>
      <c r="E416" s="41" t="s">
        <v>54</v>
      </c>
      <c r="F416" s="41" t="s">
        <v>90</v>
      </c>
      <c r="G416" s="53" t="s">
        <v>55</v>
      </c>
      <c r="H416" s="43" t="s">
        <v>102</v>
      </c>
      <c r="I416" s="43">
        <f>F417</f>
        <v>2.7247299382716049E-3</v>
      </c>
      <c r="J416" s="71"/>
      <c r="K416" s="52" t="str">
        <f>IF(J416="","",ABS(I416-J416))</f>
        <v/>
      </c>
      <c r="L416" s="75" t="s">
        <v>97</v>
      </c>
      <c r="M416" s="164"/>
      <c r="N416" s="164"/>
      <c r="O416" s="82" t="s">
        <v>54</v>
      </c>
      <c r="P416" s="41" t="s">
        <v>65</v>
      </c>
      <c r="Q416" s="67" t="s">
        <v>117</v>
      </c>
      <c r="R416" s="41" t="s">
        <v>116</v>
      </c>
      <c r="S416" s="78" t="s">
        <v>97</v>
      </c>
      <c r="T416" s="164"/>
      <c r="U416" s="168"/>
      <c r="V416" s="41" t="s">
        <v>54</v>
      </c>
      <c r="W416" s="41" t="s">
        <v>65</v>
      </c>
      <c r="X416" s="67" t="s">
        <v>117</v>
      </c>
      <c r="Y416" s="41" t="s">
        <v>116</v>
      </c>
      <c r="Z416" s="78" t="s">
        <v>97</v>
      </c>
      <c r="AA416" s="164"/>
      <c r="AB416" s="169"/>
      <c r="AC416" s="37"/>
      <c r="AD416" s="41"/>
      <c r="AE416" s="41"/>
      <c r="AF416" s="41"/>
    </row>
    <row r="417" spans="1:32" ht="16" customHeight="1" x14ac:dyDescent="0.2">
      <c r="A417" s="37"/>
      <c r="B417" s="174"/>
      <c r="C417" s="175"/>
      <c r="D417" s="82" t="s">
        <v>58</v>
      </c>
      <c r="E417" s="41">
        <v>1000</v>
      </c>
      <c r="F417" s="43">
        <f>F272</f>
        <v>2.7247299382716049E-3</v>
      </c>
      <c r="G417" s="53" t="s">
        <v>57</v>
      </c>
      <c r="H417" s="43" t="s">
        <v>103</v>
      </c>
      <c r="I417" s="43">
        <f>I416</f>
        <v>2.7247299382716049E-3</v>
      </c>
      <c r="J417" s="71"/>
      <c r="K417" s="52" t="str">
        <f t="shared" ref="K417:K420" si="92">IF(J417="","",ABS(I417-J417))</f>
        <v/>
      </c>
      <c r="L417" s="75" t="s">
        <v>98</v>
      </c>
      <c r="M417" s="164"/>
      <c r="N417" s="164"/>
      <c r="O417" s="82" t="s">
        <v>118</v>
      </c>
      <c r="P417" s="43">
        <f>S272</f>
        <v>3.7268518518518519E-3</v>
      </c>
      <c r="Q417" s="71"/>
      <c r="R417" s="76" t="str">
        <f>IF(Q417="","",ABS(P417-Q417))</f>
        <v/>
      </c>
      <c r="S417" s="78" t="s">
        <v>98</v>
      </c>
      <c r="T417" s="164"/>
      <c r="U417" s="168"/>
      <c r="V417" s="41" t="s">
        <v>143</v>
      </c>
      <c r="W417" s="43">
        <f>Z270+13/86400</f>
        <v>3.354552469135802E-3</v>
      </c>
      <c r="X417" s="71"/>
      <c r="Y417" s="52" t="str">
        <f>IF(X417="","",ABS(W417-X417))</f>
        <v/>
      </c>
      <c r="Z417" s="78" t="s">
        <v>98</v>
      </c>
      <c r="AA417" s="164"/>
      <c r="AB417" s="169"/>
      <c r="AC417" s="37"/>
      <c r="AD417" s="41"/>
      <c r="AE417" s="41"/>
      <c r="AF417" s="41"/>
    </row>
    <row r="418" spans="1:32" ht="16" customHeight="1" x14ac:dyDescent="0.2">
      <c r="A418" s="37"/>
      <c r="B418" s="174"/>
      <c r="C418" s="175"/>
      <c r="D418" s="165" t="s">
        <v>111</v>
      </c>
      <c r="E418" s="166"/>
      <c r="F418" s="166"/>
      <c r="G418" s="167"/>
      <c r="H418" s="43" t="s">
        <v>104</v>
      </c>
      <c r="I418" s="43">
        <f t="shared" ref="I418:I420" si="93">I417</f>
        <v>2.7247299382716049E-3</v>
      </c>
      <c r="J418" s="71"/>
      <c r="K418" s="52" t="str">
        <f t="shared" si="92"/>
        <v/>
      </c>
      <c r="L418" s="170" t="s">
        <v>112</v>
      </c>
      <c r="M418" s="171"/>
      <c r="N418" s="90"/>
      <c r="O418" s="82" t="s">
        <v>120</v>
      </c>
      <c r="P418" s="43">
        <f>S270</f>
        <v>3.1481481481481482E-3</v>
      </c>
      <c r="Q418" s="71"/>
      <c r="R418" s="76" t="str">
        <f t="shared" ref="R418:R419" si="94">IF(Q418="","",ABS(P418-Q418))</f>
        <v/>
      </c>
      <c r="S418" s="170" t="s">
        <v>112</v>
      </c>
      <c r="T418" s="171"/>
      <c r="U418" s="83"/>
      <c r="V418" s="166" t="s">
        <v>111</v>
      </c>
      <c r="W418" s="166"/>
      <c r="X418" s="166"/>
      <c r="Y418" s="167"/>
      <c r="Z418" s="170" t="s">
        <v>112</v>
      </c>
      <c r="AA418" s="171"/>
      <c r="AB418" s="80"/>
      <c r="AC418" s="37"/>
      <c r="AD418" s="41"/>
      <c r="AE418" s="41"/>
      <c r="AF418" s="41"/>
    </row>
    <row r="419" spans="1:32" ht="16" customHeight="1" x14ac:dyDescent="0.2">
      <c r="A419" s="37"/>
      <c r="B419" s="174"/>
      <c r="C419" s="175"/>
      <c r="D419" s="165"/>
      <c r="E419" s="166"/>
      <c r="F419" s="166"/>
      <c r="G419" s="167"/>
      <c r="H419" s="43" t="s">
        <v>105</v>
      </c>
      <c r="I419" s="43">
        <f t="shared" si="93"/>
        <v>2.7247299382716049E-3</v>
      </c>
      <c r="J419" s="71"/>
      <c r="K419" s="52" t="str">
        <f t="shared" si="92"/>
        <v/>
      </c>
      <c r="L419" s="163" t="s">
        <v>88</v>
      </c>
      <c r="M419" s="164"/>
      <c r="N419" s="164"/>
      <c r="O419" s="82" t="s">
        <v>122</v>
      </c>
      <c r="P419" s="43">
        <f>S272</f>
        <v>3.7268518518518519E-3</v>
      </c>
      <c r="Q419" s="71"/>
      <c r="R419" s="76" t="str">
        <f t="shared" si="94"/>
        <v/>
      </c>
      <c r="S419" s="163" t="s">
        <v>88</v>
      </c>
      <c r="T419" s="164"/>
      <c r="U419" s="168"/>
      <c r="V419" s="30"/>
      <c r="W419" s="30"/>
      <c r="X419" s="30"/>
      <c r="Y419" s="30"/>
      <c r="Z419" s="163" t="s">
        <v>88</v>
      </c>
      <c r="AA419" s="164"/>
      <c r="AB419" s="169"/>
      <c r="AC419" s="37"/>
      <c r="AD419" s="41"/>
      <c r="AE419" s="41"/>
      <c r="AF419" s="41"/>
    </row>
    <row r="420" spans="1:32" ht="16" customHeight="1" thickBot="1" x14ac:dyDescent="0.25">
      <c r="A420" s="37"/>
      <c r="B420" s="174"/>
      <c r="C420" s="175"/>
      <c r="D420" s="82"/>
      <c r="E420" s="41"/>
      <c r="F420" s="43"/>
      <c r="G420" s="53"/>
      <c r="H420" s="43" t="s">
        <v>106</v>
      </c>
      <c r="I420" s="43">
        <f t="shared" si="93"/>
        <v>2.7247299382716049E-3</v>
      </c>
      <c r="J420" s="71"/>
      <c r="K420" s="52" t="str">
        <f t="shared" si="92"/>
        <v/>
      </c>
      <c r="L420" s="163"/>
      <c r="M420" s="164"/>
      <c r="N420" s="164"/>
      <c r="O420" s="165" t="s">
        <v>111</v>
      </c>
      <c r="P420" s="166"/>
      <c r="Q420" s="166"/>
      <c r="R420" s="166"/>
      <c r="S420" s="163"/>
      <c r="T420" s="164"/>
      <c r="U420" s="168"/>
      <c r="V420" s="30"/>
      <c r="W420" s="30"/>
      <c r="X420" s="30"/>
      <c r="Y420" s="30"/>
      <c r="Z420" s="163"/>
      <c r="AA420" s="164"/>
      <c r="AB420" s="169"/>
      <c r="AC420" s="37"/>
      <c r="AD420" s="41"/>
      <c r="AE420" s="41"/>
      <c r="AF420" s="41"/>
    </row>
    <row r="421" spans="1:32" ht="16" customHeight="1" x14ac:dyDescent="0.2">
      <c r="A421" s="37"/>
      <c r="B421" s="172">
        <f>B413+1</f>
        <v>16</v>
      </c>
      <c r="C421" s="173"/>
      <c r="D421" s="178">
        <f>D273+(B421-1)*7</f>
        <v>42759</v>
      </c>
      <c r="E421" s="179"/>
      <c r="F421" s="179"/>
      <c r="G421" s="179"/>
      <c r="H421" s="179"/>
      <c r="I421" s="179"/>
      <c r="J421" s="179"/>
      <c r="K421" s="179"/>
      <c r="L421" s="179"/>
      <c r="M421" s="179"/>
      <c r="N421" s="179"/>
      <c r="O421" s="178">
        <f>O273+(B421-1)*7</f>
        <v>42762</v>
      </c>
      <c r="P421" s="179"/>
      <c r="Q421" s="179"/>
      <c r="R421" s="179"/>
      <c r="S421" s="179"/>
      <c r="T421" s="179"/>
      <c r="U421" s="180"/>
      <c r="V421" s="179">
        <f>V273+(B421-1)*7</f>
        <v>42764</v>
      </c>
      <c r="W421" s="179"/>
      <c r="X421" s="179"/>
      <c r="Y421" s="179"/>
      <c r="Z421" s="179"/>
      <c r="AA421" s="179"/>
      <c r="AB421" s="181"/>
      <c r="AC421" s="37"/>
      <c r="AD421" s="41"/>
      <c r="AE421" s="41"/>
      <c r="AF421" s="41"/>
    </row>
    <row r="422" spans="1:32" ht="16" customHeight="1" x14ac:dyDescent="0.2">
      <c r="A422" s="37"/>
      <c r="B422" s="174"/>
      <c r="C422" s="175"/>
      <c r="D422" s="182" t="s">
        <v>99</v>
      </c>
      <c r="E422" s="183"/>
      <c r="F422" s="183"/>
      <c r="G422" s="184"/>
      <c r="H422" s="185" t="s">
        <v>101</v>
      </c>
      <c r="I422" s="183"/>
      <c r="J422" s="183"/>
      <c r="K422" s="184"/>
      <c r="L422" s="183" t="s">
        <v>100</v>
      </c>
      <c r="M422" s="183"/>
      <c r="N422" s="183"/>
      <c r="O422" s="182" t="s">
        <v>99</v>
      </c>
      <c r="P422" s="183"/>
      <c r="Q422" s="183"/>
      <c r="R422" s="183"/>
      <c r="S422" s="185" t="s">
        <v>100</v>
      </c>
      <c r="T422" s="183"/>
      <c r="U422" s="186"/>
      <c r="V422" s="183" t="s">
        <v>99</v>
      </c>
      <c r="W422" s="183"/>
      <c r="X422" s="183"/>
      <c r="Y422" s="183"/>
      <c r="Z422" s="185" t="s">
        <v>100</v>
      </c>
      <c r="AA422" s="183"/>
      <c r="AB422" s="187"/>
      <c r="AC422" s="37"/>
      <c r="AD422" s="41"/>
      <c r="AE422" s="41"/>
      <c r="AF422" s="41"/>
    </row>
    <row r="423" spans="1:32" ht="16" customHeight="1" x14ac:dyDescent="0.2">
      <c r="A423" s="37"/>
      <c r="B423" s="174"/>
      <c r="C423" s="175"/>
      <c r="D423" s="188" t="s">
        <v>110</v>
      </c>
      <c r="E423" s="189"/>
      <c r="F423" s="189"/>
      <c r="G423" s="190"/>
      <c r="H423" s="43" t="s">
        <v>113</v>
      </c>
      <c r="I423" s="43" t="s">
        <v>114</v>
      </c>
      <c r="J423" s="71" t="s">
        <v>115</v>
      </c>
      <c r="K423" s="53" t="s">
        <v>116</v>
      </c>
      <c r="L423" s="74" t="s">
        <v>96</v>
      </c>
      <c r="M423" s="191"/>
      <c r="N423" s="191"/>
      <c r="O423" s="188" t="s">
        <v>110</v>
      </c>
      <c r="P423" s="189"/>
      <c r="Q423" s="189"/>
      <c r="R423" s="189"/>
      <c r="S423" s="77" t="s">
        <v>96</v>
      </c>
      <c r="T423" s="191"/>
      <c r="U423" s="192"/>
      <c r="V423" s="189" t="s">
        <v>110</v>
      </c>
      <c r="W423" s="189"/>
      <c r="X423" s="189"/>
      <c r="Y423" s="189"/>
      <c r="Z423" s="77" t="s">
        <v>96</v>
      </c>
      <c r="AA423" s="191"/>
      <c r="AB423" s="193"/>
      <c r="AC423" s="37"/>
      <c r="AD423" s="41"/>
      <c r="AE423" s="41"/>
      <c r="AF423" s="41"/>
    </row>
    <row r="424" spans="1:32" ht="16" customHeight="1" x14ac:dyDescent="0.2">
      <c r="A424" s="37"/>
      <c r="B424" s="174"/>
      <c r="C424" s="175"/>
      <c r="D424" s="82" t="s">
        <v>53</v>
      </c>
      <c r="E424" s="41" t="s">
        <v>54</v>
      </c>
      <c r="F424" s="41" t="s">
        <v>90</v>
      </c>
      <c r="G424" s="53" t="s">
        <v>55</v>
      </c>
      <c r="H424" s="43" t="s">
        <v>102</v>
      </c>
      <c r="I424" s="43">
        <f>F425</f>
        <v>1.0551697530864197E-3</v>
      </c>
      <c r="J424" s="71"/>
      <c r="K424" s="52" t="str">
        <f>IF(J424="","",ABS(I424-J424))</f>
        <v/>
      </c>
      <c r="L424" s="75" t="s">
        <v>97</v>
      </c>
      <c r="M424" s="164"/>
      <c r="N424" s="164"/>
      <c r="O424" s="82" t="s">
        <v>54</v>
      </c>
      <c r="P424" s="41" t="s">
        <v>65</v>
      </c>
      <c r="Q424" s="67" t="s">
        <v>117</v>
      </c>
      <c r="R424" s="41" t="s">
        <v>116</v>
      </c>
      <c r="S424" s="78" t="s">
        <v>97</v>
      </c>
      <c r="T424" s="164"/>
      <c r="U424" s="168"/>
      <c r="V424" s="41"/>
      <c r="W424" s="41"/>
      <c r="X424" s="41"/>
      <c r="Y424" s="41"/>
      <c r="Z424" s="78" t="s">
        <v>97</v>
      </c>
      <c r="AA424" s="164"/>
      <c r="AB424" s="169"/>
      <c r="AC424" s="37"/>
      <c r="AD424" s="41"/>
      <c r="AE424" s="41"/>
      <c r="AF424" s="41"/>
    </row>
    <row r="425" spans="1:32" ht="16" customHeight="1" x14ac:dyDescent="0.2">
      <c r="A425" s="37"/>
      <c r="B425" s="174"/>
      <c r="C425" s="175"/>
      <c r="D425" s="82" t="s">
        <v>63</v>
      </c>
      <c r="E425" s="41">
        <v>400</v>
      </c>
      <c r="F425" s="43">
        <f>F269</f>
        <v>1.0551697530864197E-3</v>
      </c>
      <c r="G425" s="53" t="s">
        <v>129</v>
      </c>
      <c r="H425" s="43" t="s">
        <v>103</v>
      </c>
      <c r="I425" s="43">
        <f>I424</f>
        <v>1.0551697530864197E-3</v>
      </c>
      <c r="J425" s="71"/>
      <c r="K425" s="52" t="str">
        <f t="shared" ref="K425:K429" si="95">IF(J425="","",ABS(I425-J425))</f>
        <v/>
      </c>
      <c r="L425" s="75" t="s">
        <v>98</v>
      </c>
      <c r="M425" s="164"/>
      <c r="N425" s="164"/>
      <c r="O425" s="82" t="s">
        <v>120</v>
      </c>
      <c r="P425" s="43">
        <f>S272</f>
        <v>3.7268518518518519E-3</v>
      </c>
      <c r="Q425" s="71"/>
      <c r="R425" s="52" t="str">
        <f>IF(Q425="","",ABS(P425-Q425))</f>
        <v/>
      </c>
      <c r="S425" s="78" t="s">
        <v>98</v>
      </c>
      <c r="T425" s="164"/>
      <c r="U425" s="168"/>
      <c r="V425" s="100" t="s">
        <v>153</v>
      </c>
      <c r="W425" s="100"/>
      <c r="X425" s="100"/>
      <c r="Y425" s="101"/>
      <c r="Z425" s="78" t="s">
        <v>98</v>
      </c>
      <c r="AA425" s="164"/>
      <c r="AB425" s="169"/>
      <c r="AC425" s="37"/>
      <c r="AD425" s="41"/>
      <c r="AE425" s="41"/>
      <c r="AF425" s="41"/>
    </row>
    <row r="426" spans="1:32" ht="16" customHeight="1" x14ac:dyDescent="0.2">
      <c r="A426" s="37"/>
      <c r="B426" s="174"/>
      <c r="C426" s="175"/>
      <c r="D426" s="165" t="s">
        <v>111</v>
      </c>
      <c r="E426" s="166"/>
      <c r="F426" s="166"/>
      <c r="G426" s="167"/>
      <c r="H426" s="43" t="s">
        <v>104</v>
      </c>
      <c r="I426" s="43">
        <f t="shared" ref="I426:I429" si="96">I425</f>
        <v>1.0551697530864197E-3</v>
      </c>
      <c r="J426" s="71"/>
      <c r="K426" s="52" t="str">
        <f t="shared" si="95"/>
        <v/>
      </c>
      <c r="L426" s="170" t="s">
        <v>112</v>
      </c>
      <c r="M426" s="171"/>
      <c r="N426" s="90"/>
      <c r="O426" s="165" t="s">
        <v>111</v>
      </c>
      <c r="P426" s="166"/>
      <c r="Q426" s="166"/>
      <c r="R426" s="167"/>
      <c r="S426" s="170" t="s">
        <v>112</v>
      </c>
      <c r="T426" s="171"/>
      <c r="U426" s="83"/>
      <c r="V426" s="30"/>
      <c r="W426" s="30"/>
      <c r="X426" s="30"/>
      <c r="Y426" s="102"/>
      <c r="Z426" s="170" t="s">
        <v>112</v>
      </c>
      <c r="AA426" s="171"/>
      <c r="AB426" s="80"/>
      <c r="AC426" s="37"/>
      <c r="AD426" s="41"/>
      <c r="AE426" s="41"/>
      <c r="AF426" s="41"/>
    </row>
    <row r="427" spans="1:32" ht="16" customHeight="1" x14ac:dyDescent="0.2">
      <c r="A427" s="37"/>
      <c r="B427" s="174"/>
      <c r="C427" s="175"/>
      <c r="D427" s="82"/>
      <c r="E427" s="41"/>
      <c r="F427" s="43"/>
      <c r="G427" s="53"/>
      <c r="H427" s="43" t="s">
        <v>105</v>
      </c>
      <c r="I427" s="43">
        <f t="shared" si="96"/>
        <v>1.0551697530864197E-3</v>
      </c>
      <c r="J427" s="71"/>
      <c r="K427" s="52" t="str">
        <f t="shared" si="95"/>
        <v/>
      </c>
      <c r="L427" s="163" t="s">
        <v>88</v>
      </c>
      <c r="M427" s="164"/>
      <c r="N427" s="164"/>
      <c r="O427" s="82"/>
      <c r="P427" s="43"/>
      <c r="Q427" s="41"/>
      <c r="R427" s="52"/>
      <c r="S427" s="163" t="s">
        <v>88</v>
      </c>
      <c r="T427" s="164"/>
      <c r="U427" s="168"/>
      <c r="V427" s="166" t="s">
        <v>111</v>
      </c>
      <c r="W427" s="166"/>
      <c r="X427" s="166"/>
      <c r="Y427" s="167"/>
      <c r="Z427" s="163" t="s">
        <v>88</v>
      </c>
      <c r="AA427" s="164"/>
      <c r="AB427" s="169"/>
      <c r="AC427" s="37"/>
      <c r="AD427" s="41"/>
      <c r="AE427" s="41"/>
      <c r="AF427" s="41"/>
    </row>
    <row r="428" spans="1:32" ht="16" customHeight="1" x14ac:dyDescent="0.2">
      <c r="A428" s="37"/>
      <c r="B428" s="174"/>
      <c r="C428" s="175"/>
      <c r="D428" s="82"/>
      <c r="E428" s="41"/>
      <c r="F428" s="43"/>
      <c r="G428" s="53"/>
      <c r="H428" s="43" t="s">
        <v>106</v>
      </c>
      <c r="I428" s="43">
        <f t="shared" si="96"/>
        <v>1.0551697530864197E-3</v>
      </c>
      <c r="J428" s="71"/>
      <c r="K428" s="52" t="str">
        <f t="shared" si="95"/>
        <v/>
      </c>
      <c r="L428" s="163"/>
      <c r="M428" s="164"/>
      <c r="N428" s="164"/>
      <c r="O428" s="165"/>
      <c r="P428" s="166"/>
      <c r="Q428" s="166"/>
      <c r="R428" s="167"/>
      <c r="S428" s="163"/>
      <c r="T428" s="164"/>
      <c r="U428" s="168"/>
      <c r="V428" s="30"/>
      <c r="W428" s="30"/>
      <c r="X428" s="30"/>
      <c r="Y428" s="30"/>
      <c r="Z428" s="163"/>
      <c r="AA428" s="164"/>
      <c r="AB428" s="169"/>
      <c r="AC428" s="37"/>
      <c r="AD428" s="41"/>
      <c r="AE428" s="41"/>
      <c r="AF428" s="41"/>
    </row>
    <row r="429" spans="1:32" ht="16" customHeight="1" thickBot="1" x14ac:dyDescent="0.25">
      <c r="A429" s="37"/>
      <c r="B429" s="176"/>
      <c r="C429" s="177"/>
      <c r="D429" s="88"/>
      <c r="E429" s="45"/>
      <c r="F429" s="46"/>
      <c r="G429" s="55"/>
      <c r="H429" s="46" t="s">
        <v>107</v>
      </c>
      <c r="I429" s="46">
        <f t="shared" si="96"/>
        <v>1.0551697530864197E-3</v>
      </c>
      <c r="J429" s="73"/>
      <c r="K429" s="56" t="str">
        <f t="shared" si="95"/>
        <v/>
      </c>
      <c r="L429" s="45"/>
      <c r="M429" s="45"/>
      <c r="N429" s="58"/>
      <c r="O429" s="88"/>
      <c r="P429" s="45"/>
      <c r="Q429" s="45"/>
      <c r="R429" s="45"/>
      <c r="S429" s="57"/>
      <c r="T429" s="45"/>
      <c r="U429" s="89"/>
      <c r="V429" s="58"/>
      <c r="W429" s="58"/>
      <c r="X429" s="58"/>
      <c r="Y429" s="58"/>
      <c r="Z429" s="57"/>
      <c r="AA429" s="45"/>
      <c r="AB429" s="59"/>
      <c r="AC429" s="37"/>
      <c r="AD429" s="41"/>
      <c r="AE429" s="41"/>
      <c r="AF429" s="41"/>
    </row>
    <row r="430" spans="1:32" ht="17" thickTop="1" thickBot="1" x14ac:dyDescent="0.25">
      <c r="A430" s="37"/>
      <c r="B430" s="37"/>
      <c r="C430" s="37"/>
      <c r="D430" s="37"/>
      <c r="E430" s="37"/>
      <c r="F430" s="37"/>
      <c r="G430" s="37"/>
      <c r="H430" s="37"/>
      <c r="I430" s="37"/>
      <c r="J430" s="37"/>
      <c r="K430" s="37"/>
      <c r="L430" s="37"/>
      <c r="M430" s="37"/>
      <c r="N430" s="37"/>
      <c r="O430" s="37"/>
      <c r="P430" s="37"/>
      <c r="Q430" s="37"/>
      <c r="R430" s="37"/>
      <c r="S430" s="37"/>
      <c r="T430" s="37"/>
      <c r="U430" s="37"/>
      <c r="V430" s="37"/>
      <c r="W430" s="37"/>
      <c r="X430" s="37"/>
      <c r="Y430" s="37"/>
      <c r="Z430" s="37"/>
      <c r="AA430" s="37"/>
      <c r="AB430" s="37"/>
      <c r="AC430" s="37"/>
      <c r="AD430" s="41"/>
      <c r="AE430" s="41"/>
      <c r="AF430" s="41"/>
    </row>
    <row r="431" spans="1:32" ht="23.25" customHeight="1" thickTop="1" x14ac:dyDescent="0.2">
      <c r="A431" s="37"/>
      <c r="B431" s="242" t="s">
        <v>79</v>
      </c>
      <c r="C431" s="243"/>
      <c r="D431" s="243"/>
      <c r="E431" s="243"/>
      <c r="F431" s="243"/>
      <c r="G431" s="243"/>
      <c r="H431" s="243"/>
      <c r="I431" s="243"/>
      <c r="J431" s="243"/>
      <c r="K431" s="243"/>
      <c r="L431" s="243"/>
      <c r="M431" s="243"/>
      <c r="N431" s="243"/>
      <c r="O431" s="243"/>
      <c r="P431" s="243"/>
      <c r="Q431" s="243"/>
      <c r="R431" s="243"/>
      <c r="S431" s="243"/>
      <c r="T431" s="243"/>
      <c r="U431" s="243"/>
      <c r="V431" s="243"/>
      <c r="W431" s="243"/>
      <c r="X431" s="243"/>
      <c r="Y431" s="243"/>
      <c r="Z431" s="243"/>
      <c r="AA431" s="243"/>
      <c r="AB431" s="244"/>
      <c r="AC431" s="37"/>
      <c r="AD431" s="41"/>
      <c r="AE431" s="41"/>
      <c r="AF431" s="41"/>
    </row>
    <row r="432" spans="1:32" ht="18" customHeight="1" x14ac:dyDescent="0.2">
      <c r="A432" s="37"/>
      <c r="B432" s="33"/>
      <c r="C432" s="47" t="s">
        <v>67</v>
      </c>
      <c r="D432" s="41"/>
      <c r="E432" s="41"/>
      <c r="F432" s="41"/>
      <c r="G432" s="230" t="s">
        <v>7</v>
      </c>
      <c r="H432" s="231"/>
      <c r="I432" s="231"/>
      <c r="J432" s="231"/>
      <c r="K432" s="231"/>
      <c r="L432" s="231"/>
      <c r="M432" s="231"/>
      <c r="N432" s="232"/>
      <c r="O432" s="230" t="s">
        <v>75</v>
      </c>
      <c r="P432" s="231"/>
      <c r="Q432" s="231"/>
      <c r="R432" s="231"/>
      <c r="S432" s="231"/>
      <c r="T432" s="231"/>
      <c r="U432" s="232"/>
      <c r="V432" s="245" t="s">
        <v>51</v>
      </c>
      <c r="W432" s="245"/>
      <c r="X432" s="245"/>
      <c r="Y432" s="245"/>
      <c r="Z432" s="245"/>
      <c r="AA432" s="245"/>
      <c r="AB432" s="246"/>
      <c r="AC432" s="37"/>
      <c r="AD432" s="100"/>
      <c r="AE432" s="100"/>
      <c r="AF432" s="41"/>
    </row>
    <row r="433" spans="1:32" ht="18" customHeight="1" x14ac:dyDescent="0.2">
      <c r="A433" s="37"/>
      <c r="B433" s="32"/>
      <c r="C433" s="47" t="s">
        <v>68</v>
      </c>
      <c r="D433" s="41"/>
      <c r="E433" s="41"/>
      <c r="F433" s="41"/>
      <c r="G433" s="91" t="s">
        <v>72</v>
      </c>
      <c r="H433" s="47"/>
      <c r="I433" s="47"/>
      <c r="J433" s="47"/>
      <c r="K433" s="47"/>
      <c r="L433" s="47"/>
      <c r="M433" s="47"/>
      <c r="N433" s="92"/>
      <c r="O433" s="91" t="s">
        <v>164</v>
      </c>
      <c r="P433" s="47"/>
      <c r="Q433" s="47"/>
      <c r="R433" s="47"/>
      <c r="S433" s="47"/>
      <c r="T433" s="47"/>
      <c r="U433" s="92"/>
      <c r="V433" s="247" t="s">
        <v>166</v>
      </c>
      <c r="W433" s="248"/>
      <c r="X433" s="248"/>
      <c r="Y433" s="248"/>
      <c r="Z433" s="248"/>
      <c r="AA433" s="248"/>
      <c r="AB433" s="249"/>
      <c r="AC433" s="37"/>
      <c r="AD433" s="41"/>
      <c r="AE433" s="41"/>
      <c r="AF433" s="41"/>
    </row>
    <row r="434" spans="1:32" ht="18" customHeight="1" x14ac:dyDescent="0.2">
      <c r="A434" s="37"/>
      <c r="B434" s="32"/>
      <c r="C434" s="47" t="s">
        <v>69</v>
      </c>
      <c r="D434" s="41"/>
      <c r="E434" s="41"/>
      <c r="F434" s="41"/>
      <c r="G434" s="91" t="s">
        <v>73</v>
      </c>
      <c r="H434" s="47"/>
      <c r="I434" s="47"/>
      <c r="J434" s="47"/>
      <c r="K434" s="47"/>
      <c r="L434" s="47"/>
      <c r="M434" s="47"/>
      <c r="N434" s="92"/>
      <c r="O434" s="91" t="s">
        <v>165</v>
      </c>
      <c r="P434" s="47"/>
      <c r="Q434" s="47"/>
      <c r="R434" s="47"/>
      <c r="S434" s="47"/>
      <c r="T434" s="47"/>
      <c r="U434" s="92"/>
      <c r="V434" s="247"/>
      <c r="W434" s="248"/>
      <c r="X434" s="248"/>
      <c r="Y434" s="248"/>
      <c r="Z434" s="248"/>
      <c r="AA434" s="248"/>
      <c r="AB434" s="249"/>
      <c r="AC434" s="37"/>
      <c r="AD434" s="41"/>
      <c r="AE434" s="41"/>
      <c r="AF434" s="41"/>
    </row>
    <row r="435" spans="1:32" ht="18" customHeight="1" x14ac:dyDescent="0.2">
      <c r="A435" s="37"/>
      <c r="B435" s="32"/>
      <c r="C435" s="47" t="s">
        <v>134</v>
      </c>
      <c r="D435" s="41"/>
      <c r="E435" s="41"/>
      <c r="F435" s="41"/>
      <c r="G435" s="91" t="s">
        <v>131</v>
      </c>
      <c r="H435" s="47"/>
      <c r="I435" s="47"/>
      <c r="J435" s="47"/>
      <c r="K435" s="47"/>
      <c r="L435" s="47"/>
      <c r="M435" s="47"/>
      <c r="N435" s="92"/>
      <c r="O435" s="247" t="s">
        <v>163</v>
      </c>
      <c r="P435" s="248"/>
      <c r="Q435" s="248"/>
      <c r="R435" s="248"/>
      <c r="S435" s="248"/>
      <c r="T435" s="248"/>
      <c r="U435" s="250"/>
      <c r="V435" s="47" t="s">
        <v>82</v>
      </c>
      <c r="W435" s="30"/>
      <c r="X435" s="41"/>
      <c r="Y435" s="41"/>
      <c r="Z435" s="41"/>
      <c r="AA435" s="41"/>
      <c r="AB435" s="44"/>
      <c r="AC435" s="37"/>
      <c r="AD435" s="41"/>
      <c r="AE435" s="41"/>
      <c r="AF435" s="41"/>
    </row>
    <row r="436" spans="1:32" ht="18" customHeight="1" x14ac:dyDescent="0.2">
      <c r="A436" s="37"/>
      <c r="B436" s="32"/>
      <c r="C436" s="47" t="s">
        <v>135</v>
      </c>
      <c r="D436" s="41"/>
      <c r="E436" s="41"/>
      <c r="F436" s="41"/>
      <c r="G436" s="91" t="s">
        <v>132</v>
      </c>
      <c r="H436" s="47"/>
      <c r="I436" s="47"/>
      <c r="J436" s="47"/>
      <c r="K436" s="47"/>
      <c r="L436" s="41"/>
      <c r="M436" s="41"/>
      <c r="N436" s="86"/>
      <c r="O436" s="247"/>
      <c r="P436" s="248"/>
      <c r="Q436" s="248"/>
      <c r="R436" s="248"/>
      <c r="S436" s="248"/>
      <c r="T436" s="248"/>
      <c r="U436" s="250"/>
      <c r="V436" s="41"/>
      <c r="W436" s="41"/>
      <c r="X436" s="41"/>
      <c r="Y436" s="41"/>
      <c r="Z436" s="41"/>
      <c r="AA436" s="41"/>
      <c r="AB436" s="44"/>
      <c r="AC436" s="37"/>
      <c r="AD436" s="41"/>
      <c r="AE436" s="41"/>
      <c r="AF436" s="41"/>
    </row>
    <row r="437" spans="1:32" ht="15.75" customHeight="1" x14ac:dyDescent="0.2">
      <c r="A437" s="37"/>
      <c r="B437" s="32"/>
      <c r="C437" s="47" t="s">
        <v>136</v>
      </c>
      <c r="D437" s="41"/>
      <c r="E437" s="41"/>
      <c r="F437" s="41"/>
      <c r="G437" s="82"/>
      <c r="H437" s="41"/>
      <c r="I437" s="41"/>
      <c r="J437" s="41"/>
      <c r="K437" s="41"/>
      <c r="L437" s="41"/>
      <c r="M437" s="41"/>
      <c r="N437" s="86"/>
      <c r="O437" s="82"/>
      <c r="P437" s="41"/>
      <c r="Q437" s="41"/>
      <c r="R437" s="41"/>
      <c r="S437" s="41"/>
      <c r="T437" s="41"/>
      <c r="U437" s="86"/>
      <c r="V437" s="41"/>
      <c r="W437" s="41"/>
      <c r="X437" s="41"/>
      <c r="Y437" s="41"/>
      <c r="Z437" s="41"/>
      <c r="AA437" s="41"/>
      <c r="AB437" s="44"/>
      <c r="AC437" s="37"/>
      <c r="AD437" s="41"/>
      <c r="AE437" s="41"/>
      <c r="AF437" s="41"/>
    </row>
    <row r="438" spans="1:32" ht="15.75" customHeight="1" x14ac:dyDescent="0.2">
      <c r="A438" s="37"/>
      <c r="B438" s="32"/>
      <c r="C438" s="47" t="s">
        <v>70</v>
      </c>
      <c r="D438" s="41"/>
      <c r="E438" s="41"/>
      <c r="F438" s="41"/>
      <c r="G438" s="91" t="s">
        <v>74</v>
      </c>
      <c r="H438" s="47"/>
      <c r="I438" s="47"/>
      <c r="J438" s="47"/>
      <c r="K438" s="47"/>
      <c r="L438" s="47"/>
      <c r="M438" s="47"/>
      <c r="N438" s="92"/>
      <c r="O438" s="91"/>
      <c r="P438" s="41"/>
      <c r="Q438" s="41"/>
      <c r="R438" s="41"/>
      <c r="S438" s="30"/>
      <c r="T438" s="30"/>
      <c r="U438" s="86"/>
      <c r="V438" s="41"/>
      <c r="W438" s="41"/>
      <c r="X438" s="41"/>
      <c r="Y438" s="41"/>
      <c r="Z438" s="41"/>
      <c r="AA438" s="41"/>
      <c r="AB438" s="44"/>
      <c r="AC438" s="37"/>
      <c r="AD438" s="41"/>
      <c r="AE438" s="41"/>
      <c r="AF438" s="41"/>
    </row>
    <row r="439" spans="1:32" ht="15.75" customHeight="1" thickBot="1" x14ac:dyDescent="0.25">
      <c r="A439" s="37"/>
      <c r="B439" s="32"/>
      <c r="C439" s="47" t="s">
        <v>71</v>
      </c>
      <c r="D439" s="41"/>
      <c r="E439" s="41"/>
      <c r="F439" s="41"/>
      <c r="G439" s="93" t="s">
        <v>133</v>
      </c>
      <c r="H439" s="48"/>
      <c r="I439" s="48"/>
      <c r="J439" s="48"/>
      <c r="K439" s="48"/>
      <c r="L439" s="48"/>
      <c r="M439" s="48"/>
      <c r="N439" s="98"/>
      <c r="O439" s="93"/>
      <c r="P439" s="41"/>
      <c r="Q439" s="41"/>
      <c r="R439" s="41"/>
      <c r="S439" s="41"/>
      <c r="T439" s="41"/>
      <c r="U439" s="86"/>
      <c r="V439" s="41"/>
      <c r="W439" s="41"/>
      <c r="X439" s="41"/>
      <c r="Y439" s="41"/>
      <c r="Z439" s="41"/>
      <c r="AA439" s="41"/>
      <c r="AB439" s="44"/>
      <c r="AC439" s="37"/>
      <c r="AD439" s="41"/>
      <c r="AE439" s="41"/>
      <c r="AF439" s="41"/>
    </row>
    <row r="440" spans="1:32" ht="19.5" customHeight="1" thickBot="1" x14ac:dyDescent="0.25">
      <c r="A440" s="37"/>
      <c r="B440" s="251" t="s">
        <v>52</v>
      </c>
      <c r="C440" s="252"/>
      <c r="D440" s="253" t="s">
        <v>7</v>
      </c>
      <c r="E440" s="253"/>
      <c r="F440" s="253"/>
      <c r="G440" s="253"/>
      <c r="H440" s="253"/>
      <c r="I440" s="253"/>
      <c r="J440" s="253"/>
      <c r="K440" s="253"/>
      <c r="L440" s="253"/>
      <c r="M440" s="253"/>
      <c r="N440" s="252"/>
      <c r="O440" s="254" t="s">
        <v>50</v>
      </c>
      <c r="P440" s="253"/>
      <c r="Q440" s="253"/>
      <c r="R440" s="253"/>
      <c r="S440" s="253"/>
      <c r="T440" s="253"/>
      <c r="U440" s="255"/>
      <c r="V440" s="256" t="s">
        <v>51</v>
      </c>
      <c r="W440" s="253"/>
      <c r="X440" s="253"/>
      <c r="Y440" s="253"/>
      <c r="Z440" s="252"/>
      <c r="AA440" s="252"/>
      <c r="AB440" s="257"/>
      <c r="AC440" s="37"/>
      <c r="AD440" s="41"/>
      <c r="AE440" s="41"/>
      <c r="AF440" s="41"/>
    </row>
    <row r="441" spans="1:32" ht="16" customHeight="1" x14ac:dyDescent="0.2">
      <c r="A441" s="37"/>
      <c r="B441" s="235" t="s">
        <v>137</v>
      </c>
      <c r="C441" s="236"/>
      <c r="D441" s="200" t="str">
        <f>B$2</f>
        <v>400 M</v>
      </c>
      <c r="E441" s="201"/>
      <c r="F441" s="158">
        <f>$B$3</f>
        <v>1.0551697530864197E-3</v>
      </c>
      <c r="G441" s="158">
        <f>$B$4</f>
        <v>2.6379243827160492E-3</v>
      </c>
      <c r="H441" s="155"/>
      <c r="I441" s="155"/>
      <c r="J441" s="201" t="str">
        <f>J$2</f>
        <v>1200 M</v>
      </c>
      <c r="K441" s="201"/>
      <c r="L441" s="156">
        <f>$J$3</f>
        <v>3.3135609567901229E-3</v>
      </c>
      <c r="M441" s="158">
        <f>$J$4</f>
        <v>2.7613007973251026E-3</v>
      </c>
      <c r="N441" s="161"/>
      <c r="O441" s="94"/>
      <c r="P441" s="258" t="s">
        <v>91</v>
      </c>
      <c r="Q441" s="258"/>
      <c r="R441" s="258"/>
      <c r="S441" s="259">
        <f>$P$3</f>
        <v>3.0324074074074073E-3</v>
      </c>
      <c r="T441" s="259"/>
      <c r="U441" s="95"/>
      <c r="V441" s="69"/>
      <c r="W441" s="260" t="s">
        <v>94</v>
      </c>
      <c r="X441" s="260"/>
      <c r="Y441" s="260"/>
      <c r="Z441" s="261">
        <f>$X$3</f>
        <v>3.3584104938271606E-3</v>
      </c>
      <c r="AA441" s="261"/>
      <c r="AB441" s="68"/>
      <c r="AC441" s="37"/>
      <c r="AD441" s="41"/>
      <c r="AE441" s="41"/>
      <c r="AF441" s="41"/>
    </row>
    <row r="442" spans="1:32" ht="16" customHeight="1" x14ac:dyDescent="0.2">
      <c r="A442" s="37"/>
      <c r="B442" s="237"/>
      <c r="C442" s="238"/>
      <c r="D442" s="202" t="str">
        <f>D$2</f>
        <v>600 M</v>
      </c>
      <c r="E442" s="203"/>
      <c r="F442" s="158">
        <f>$D$3</f>
        <v>1.6116898148148149E-3</v>
      </c>
      <c r="G442" s="158">
        <f>$D$4</f>
        <v>2.6861496913580252E-3</v>
      </c>
      <c r="H442" s="157"/>
      <c r="I442" s="157"/>
      <c r="J442" s="203" t="str">
        <f>L$2</f>
        <v>1600 M</v>
      </c>
      <c r="K442" s="203"/>
      <c r="L442" s="158">
        <f>$L$3</f>
        <v>4.5076195987654322E-3</v>
      </c>
      <c r="M442" s="158">
        <f>$L$4</f>
        <v>2.8172622492283949E-3</v>
      </c>
      <c r="N442" s="162"/>
      <c r="O442" s="94"/>
      <c r="P442" s="258" t="s">
        <v>92</v>
      </c>
      <c r="Q442" s="258"/>
      <c r="R442" s="258"/>
      <c r="S442" s="261">
        <f>$R$3</f>
        <v>3.1481481481481482E-3</v>
      </c>
      <c r="T442" s="261"/>
      <c r="U442" s="95"/>
      <c r="V442" s="69"/>
      <c r="W442" s="258" t="s">
        <v>95</v>
      </c>
      <c r="X442" s="258"/>
      <c r="Y442" s="258"/>
      <c r="Z442" s="261">
        <f>$Z$3</f>
        <v>3.2040895061728391E-3</v>
      </c>
      <c r="AA442" s="261"/>
      <c r="AB442" s="68"/>
      <c r="AC442" s="37"/>
      <c r="AD442" s="41"/>
      <c r="AE442" s="41"/>
      <c r="AF442" s="41"/>
    </row>
    <row r="443" spans="1:32" ht="16" customHeight="1" x14ac:dyDescent="0.2">
      <c r="A443" s="37"/>
      <c r="B443" s="237"/>
      <c r="C443" s="238"/>
      <c r="D443" s="202" t="str">
        <f>F$2</f>
        <v>800 M</v>
      </c>
      <c r="E443" s="203"/>
      <c r="F443" s="158">
        <f>$F$3</f>
        <v>2.1566358024691359E-3</v>
      </c>
      <c r="G443" s="158">
        <f>$F$4</f>
        <v>2.6957947530864201E-3</v>
      </c>
      <c r="H443" s="157"/>
      <c r="I443" s="157"/>
      <c r="J443" s="203" t="str">
        <f>N$2</f>
        <v>2000 M</v>
      </c>
      <c r="K443" s="203"/>
      <c r="L443" s="158">
        <f>$N$3</f>
        <v>5.6925154320987652E-3</v>
      </c>
      <c r="M443" s="158">
        <f>$N$4</f>
        <v>2.8462577160493826E-3</v>
      </c>
      <c r="N443" s="162"/>
      <c r="O443" s="94"/>
      <c r="P443" s="258" t="s">
        <v>93</v>
      </c>
      <c r="Q443" s="258"/>
      <c r="R443" s="258"/>
      <c r="S443" s="261">
        <f>$T$3</f>
        <v>3.2523148148148147E-3</v>
      </c>
      <c r="T443" s="261"/>
      <c r="U443" s="95"/>
      <c r="V443" s="69"/>
      <c r="W443" s="69"/>
      <c r="X443" s="69"/>
      <c r="Y443" s="69"/>
      <c r="Z443" s="69"/>
      <c r="AA443" s="69"/>
      <c r="AB443" s="68"/>
      <c r="AC443" s="37"/>
      <c r="AD443" s="41"/>
      <c r="AE443" s="41"/>
      <c r="AF443" s="41"/>
    </row>
    <row r="444" spans="1:32" ht="16" customHeight="1" thickBot="1" x14ac:dyDescent="0.25">
      <c r="A444" s="37"/>
      <c r="B444" s="239"/>
      <c r="C444" s="240"/>
      <c r="D444" s="204" t="str">
        <f>H$2</f>
        <v xml:space="preserve">1000 M </v>
      </c>
      <c r="E444" s="205"/>
      <c r="F444" s="160">
        <f>$H$3</f>
        <v>2.7247299382716049E-3</v>
      </c>
      <c r="G444" s="160">
        <f>$H$4</f>
        <v>2.7247299382716049E-3</v>
      </c>
      <c r="H444" s="159"/>
      <c r="I444" s="159"/>
      <c r="J444" s="70"/>
      <c r="K444" s="70"/>
      <c r="L444" s="70"/>
      <c r="M444" s="70"/>
      <c r="N444" s="70"/>
      <c r="O444" s="96"/>
      <c r="P444" s="258" t="s">
        <v>179</v>
      </c>
      <c r="Q444" s="258"/>
      <c r="R444" s="258"/>
      <c r="S444" s="261">
        <f>$V$3</f>
        <v>3.7268518518518519E-3</v>
      </c>
      <c r="T444" s="261"/>
      <c r="U444" s="81"/>
      <c r="V444" s="69"/>
      <c r="W444" s="69"/>
      <c r="X444" s="69"/>
      <c r="Y444" s="69"/>
      <c r="Z444" s="106">
        <f>VLOOKUP($AK$12,$AI$3:$AL$9,4,FALSE)</f>
        <v>42654</v>
      </c>
      <c r="AA444" s="106">
        <f>VLOOKUP($AK$13,$AI$3:$AL$9,4,FALSE)</f>
        <v>42657</v>
      </c>
      <c r="AB444" s="107">
        <f>VLOOKUP($AK$14,$AI$3:$AL$9,4,FALSE)</f>
        <v>42659</v>
      </c>
      <c r="AC444" s="37"/>
      <c r="AD444" s="41"/>
      <c r="AE444" s="41"/>
      <c r="AF444" s="41"/>
    </row>
    <row r="445" spans="1:32" ht="16" customHeight="1" x14ac:dyDescent="0.2">
      <c r="A445" s="37"/>
      <c r="B445" s="172">
        <v>1</v>
      </c>
      <c r="C445" s="173"/>
      <c r="D445" s="178">
        <f>Z444</f>
        <v>42654</v>
      </c>
      <c r="E445" s="179"/>
      <c r="F445" s="179"/>
      <c r="G445" s="179"/>
      <c r="H445" s="179"/>
      <c r="I445" s="179"/>
      <c r="J445" s="179"/>
      <c r="K445" s="179"/>
      <c r="L445" s="179"/>
      <c r="M445" s="179"/>
      <c r="N445" s="179"/>
      <c r="O445" s="178">
        <f>AA444</f>
        <v>42657</v>
      </c>
      <c r="P445" s="179"/>
      <c r="Q445" s="179"/>
      <c r="R445" s="179"/>
      <c r="S445" s="179"/>
      <c r="T445" s="179"/>
      <c r="U445" s="180"/>
      <c r="V445" s="179">
        <f>AB444</f>
        <v>42659</v>
      </c>
      <c r="W445" s="179"/>
      <c r="X445" s="179"/>
      <c r="Y445" s="179"/>
      <c r="Z445" s="179"/>
      <c r="AA445" s="179"/>
      <c r="AB445" s="181"/>
      <c r="AC445" s="37"/>
      <c r="AD445" s="41"/>
      <c r="AE445" s="41"/>
      <c r="AF445" s="41"/>
    </row>
    <row r="446" spans="1:32" ht="16" customHeight="1" x14ac:dyDescent="0.2">
      <c r="A446" s="37"/>
      <c r="B446" s="174"/>
      <c r="C446" s="175"/>
      <c r="D446" s="182" t="s">
        <v>99</v>
      </c>
      <c r="E446" s="183"/>
      <c r="F446" s="183"/>
      <c r="G446" s="184"/>
      <c r="H446" s="185" t="s">
        <v>101</v>
      </c>
      <c r="I446" s="183"/>
      <c r="J446" s="183"/>
      <c r="K446" s="184"/>
      <c r="L446" s="183" t="s">
        <v>100</v>
      </c>
      <c r="M446" s="183"/>
      <c r="N446" s="183"/>
      <c r="O446" s="182" t="s">
        <v>99</v>
      </c>
      <c r="P446" s="183"/>
      <c r="Q446" s="183"/>
      <c r="R446" s="183"/>
      <c r="S446" s="185" t="s">
        <v>100</v>
      </c>
      <c r="T446" s="183"/>
      <c r="U446" s="186"/>
      <c r="V446" s="183" t="s">
        <v>99</v>
      </c>
      <c r="W446" s="183"/>
      <c r="X446" s="183"/>
      <c r="Y446" s="183"/>
      <c r="Z446" s="185" t="s">
        <v>100</v>
      </c>
      <c r="AA446" s="183"/>
      <c r="AB446" s="187"/>
      <c r="AC446" s="104"/>
      <c r="AD446" s="30"/>
      <c r="AE446" s="41"/>
      <c r="AF446" s="41"/>
    </row>
    <row r="447" spans="1:32" ht="16" customHeight="1" x14ac:dyDescent="0.2">
      <c r="A447" s="37"/>
      <c r="B447" s="174"/>
      <c r="C447" s="175"/>
      <c r="D447" s="188" t="s">
        <v>110</v>
      </c>
      <c r="E447" s="189"/>
      <c r="F447" s="189"/>
      <c r="G447" s="190"/>
      <c r="H447" s="43" t="s">
        <v>113</v>
      </c>
      <c r="I447" s="43" t="s">
        <v>114</v>
      </c>
      <c r="J447" s="71" t="s">
        <v>115</v>
      </c>
      <c r="K447" s="53" t="s">
        <v>116</v>
      </c>
      <c r="L447" s="74" t="s">
        <v>96</v>
      </c>
      <c r="M447" s="191"/>
      <c r="N447" s="191"/>
      <c r="O447" s="188" t="s">
        <v>110</v>
      </c>
      <c r="P447" s="189"/>
      <c r="Q447" s="189"/>
      <c r="R447" s="189"/>
      <c r="S447" s="77" t="s">
        <v>96</v>
      </c>
      <c r="T447" s="191"/>
      <c r="U447" s="192"/>
      <c r="V447" s="189" t="s">
        <v>110</v>
      </c>
      <c r="W447" s="189"/>
      <c r="X447" s="189"/>
      <c r="Y447" s="189"/>
      <c r="Z447" s="77" t="s">
        <v>96</v>
      </c>
      <c r="AA447" s="191"/>
      <c r="AB447" s="193"/>
      <c r="AC447" s="37"/>
      <c r="AD447" s="41"/>
      <c r="AE447" s="41"/>
      <c r="AF447" s="41"/>
    </row>
    <row r="448" spans="1:32" ht="16" customHeight="1" x14ac:dyDescent="0.2">
      <c r="A448" s="37"/>
      <c r="B448" s="174"/>
      <c r="C448" s="175"/>
      <c r="D448" s="82" t="s">
        <v>53</v>
      </c>
      <c r="E448" s="41" t="s">
        <v>54</v>
      </c>
      <c r="F448" s="41" t="s">
        <v>90</v>
      </c>
      <c r="G448" s="53" t="s">
        <v>55</v>
      </c>
      <c r="H448" s="43" t="s">
        <v>102</v>
      </c>
      <c r="I448" s="43">
        <f>F449</f>
        <v>4.5076195987654322E-3</v>
      </c>
      <c r="J448" s="71"/>
      <c r="K448" s="52" t="str">
        <f>IF(J448="","",ABS(I448-J448))</f>
        <v/>
      </c>
      <c r="L448" s="75" t="s">
        <v>97</v>
      </c>
      <c r="M448" s="164"/>
      <c r="N448" s="164"/>
      <c r="O448" s="82" t="s">
        <v>54</v>
      </c>
      <c r="P448" s="41" t="s">
        <v>65</v>
      </c>
      <c r="Q448" s="67" t="s">
        <v>117</v>
      </c>
      <c r="R448" s="41" t="s">
        <v>116</v>
      </c>
      <c r="S448" s="78" t="s">
        <v>97</v>
      </c>
      <c r="T448" s="164"/>
      <c r="U448" s="168"/>
      <c r="V448" s="41" t="s">
        <v>54</v>
      </c>
      <c r="W448" s="41" t="s">
        <v>65</v>
      </c>
      <c r="X448" s="67" t="s">
        <v>117</v>
      </c>
      <c r="Y448" s="41" t="s">
        <v>116</v>
      </c>
      <c r="Z448" s="78" t="s">
        <v>97</v>
      </c>
      <c r="AA448" s="164"/>
      <c r="AB448" s="169"/>
      <c r="AC448" s="37"/>
      <c r="AD448" s="41"/>
      <c r="AE448" s="41"/>
      <c r="AF448" s="41"/>
    </row>
    <row r="449" spans="1:32" ht="16" customHeight="1" x14ac:dyDescent="0.2">
      <c r="A449" s="37"/>
      <c r="B449" s="174"/>
      <c r="C449" s="175"/>
      <c r="D449" s="82" t="s">
        <v>64</v>
      </c>
      <c r="E449" s="41">
        <v>1600</v>
      </c>
      <c r="F449" s="43">
        <f>L442</f>
        <v>4.5076195987654322E-3</v>
      </c>
      <c r="G449" s="53" t="s">
        <v>57</v>
      </c>
      <c r="H449" s="43" t="s">
        <v>103</v>
      </c>
      <c r="I449" s="43">
        <f>I448</f>
        <v>4.5076195987654322E-3</v>
      </c>
      <c r="J449" s="71"/>
      <c r="K449" s="52" t="str">
        <f t="shared" ref="K449:K452" si="97">IF(J449="","",ABS(I449-J449))</f>
        <v/>
      </c>
      <c r="L449" s="75" t="s">
        <v>98</v>
      </c>
      <c r="M449" s="164"/>
      <c r="N449" s="164"/>
      <c r="O449" s="82" t="s">
        <v>118</v>
      </c>
      <c r="P449" s="43">
        <f>S444</f>
        <v>3.7268518518518519E-3</v>
      </c>
      <c r="Q449" s="71"/>
      <c r="R449" s="76" t="str">
        <f>IF(Q449="","",ABS(P449-Q449))</f>
        <v/>
      </c>
      <c r="S449" s="78" t="s">
        <v>98</v>
      </c>
      <c r="T449" s="164"/>
      <c r="U449" s="168"/>
      <c r="V449" s="41" t="s">
        <v>128</v>
      </c>
      <c r="W449" s="43">
        <f>Z441+19/86400</f>
        <v>3.578317901234568E-3</v>
      </c>
      <c r="X449" s="71"/>
      <c r="Y449" s="52" t="str">
        <f>IF(X449="","",ABS(W449-X449))</f>
        <v/>
      </c>
      <c r="Z449" s="78" t="s">
        <v>98</v>
      </c>
      <c r="AA449" s="164"/>
      <c r="AB449" s="169"/>
      <c r="AC449" s="37"/>
      <c r="AD449" s="41"/>
      <c r="AE449" s="41"/>
      <c r="AF449" s="41"/>
    </row>
    <row r="450" spans="1:32" ht="16" customHeight="1" x14ac:dyDescent="0.2">
      <c r="A450" s="37"/>
      <c r="B450" s="174"/>
      <c r="C450" s="175"/>
      <c r="D450" s="165" t="s">
        <v>111</v>
      </c>
      <c r="E450" s="166"/>
      <c r="F450" s="166"/>
      <c r="G450" s="167"/>
      <c r="H450" s="43" t="s">
        <v>104</v>
      </c>
      <c r="I450" s="43">
        <f t="shared" ref="I450" si="98">I449</f>
        <v>4.5076195987654322E-3</v>
      </c>
      <c r="J450" s="71"/>
      <c r="K450" s="52" t="str">
        <f t="shared" si="97"/>
        <v/>
      </c>
      <c r="L450" s="170" t="s">
        <v>112</v>
      </c>
      <c r="M450" s="171"/>
      <c r="N450" s="90"/>
      <c r="O450" s="82" t="s">
        <v>118</v>
      </c>
      <c r="P450" s="43">
        <f>S441</f>
        <v>3.0324074074074073E-3</v>
      </c>
      <c r="Q450" s="71"/>
      <c r="R450" s="76" t="str">
        <f t="shared" ref="R450:R451" si="99">IF(Q450="","",ABS(P450-Q450))</f>
        <v/>
      </c>
      <c r="S450" s="170" t="s">
        <v>112</v>
      </c>
      <c r="T450" s="171"/>
      <c r="U450" s="83"/>
      <c r="V450" s="166" t="s">
        <v>111</v>
      </c>
      <c r="W450" s="166"/>
      <c r="X450" s="166"/>
      <c r="Y450" s="167"/>
      <c r="Z450" s="170" t="s">
        <v>112</v>
      </c>
      <c r="AA450" s="171"/>
      <c r="AB450" s="80"/>
      <c r="AC450" s="37"/>
      <c r="AD450" s="41"/>
      <c r="AE450" s="41"/>
      <c r="AF450" s="41"/>
    </row>
    <row r="451" spans="1:32" ht="16" customHeight="1" x14ac:dyDescent="0.2">
      <c r="A451" s="37"/>
      <c r="B451" s="174"/>
      <c r="C451" s="175"/>
      <c r="D451" s="84"/>
      <c r="E451" s="43"/>
      <c r="F451" s="43"/>
      <c r="G451" s="53"/>
      <c r="H451" s="43"/>
      <c r="I451" s="43"/>
      <c r="J451" s="43"/>
      <c r="K451" s="52" t="str">
        <f t="shared" si="97"/>
        <v/>
      </c>
      <c r="L451" s="163" t="s">
        <v>88</v>
      </c>
      <c r="M451" s="164"/>
      <c r="N451" s="164"/>
      <c r="O451" s="82" t="s">
        <v>118</v>
      </c>
      <c r="P451" s="43">
        <f>S444</f>
        <v>3.7268518518518519E-3</v>
      </c>
      <c r="Q451" s="71"/>
      <c r="R451" s="76" t="str">
        <f t="shared" si="99"/>
        <v/>
      </c>
      <c r="S451" s="163" t="s">
        <v>88</v>
      </c>
      <c r="T451" s="164"/>
      <c r="U451" s="168"/>
      <c r="V451" s="30"/>
      <c r="W451" s="30"/>
      <c r="X451" s="30"/>
      <c r="Y451" s="30"/>
      <c r="Z451" s="163" t="s">
        <v>88</v>
      </c>
      <c r="AA451" s="164"/>
      <c r="AB451" s="169"/>
      <c r="AC451" s="37"/>
      <c r="AD451" s="41"/>
      <c r="AE451" s="41"/>
      <c r="AF451" s="41"/>
    </row>
    <row r="452" spans="1:32" ht="16" customHeight="1" thickBot="1" x14ac:dyDescent="0.25">
      <c r="A452" s="37"/>
      <c r="B452" s="174"/>
      <c r="C452" s="175"/>
      <c r="D452" s="84"/>
      <c r="E452" s="43"/>
      <c r="F452" s="43"/>
      <c r="G452" s="53"/>
      <c r="H452" s="43"/>
      <c r="I452" s="43"/>
      <c r="J452" s="43"/>
      <c r="K452" s="52" t="str">
        <f t="shared" si="97"/>
        <v/>
      </c>
      <c r="L452" s="163"/>
      <c r="M452" s="164"/>
      <c r="N452" s="164"/>
      <c r="O452" s="165" t="s">
        <v>111</v>
      </c>
      <c r="P452" s="166"/>
      <c r="Q452" s="166"/>
      <c r="R452" s="166"/>
      <c r="S452" s="163"/>
      <c r="T452" s="164"/>
      <c r="U452" s="168"/>
      <c r="V452" s="30"/>
      <c r="W452" s="30"/>
      <c r="X452" s="30"/>
      <c r="Y452" s="30"/>
      <c r="Z452" s="163"/>
      <c r="AA452" s="164"/>
      <c r="AB452" s="169"/>
      <c r="AC452" s="37"/>
      <c r="AD452" s="41"/>
      <c r="AE452" s="41"/>
      <c r="AF452" s="41"/>
    </row>
    <row r="453" spans="1:32" ht="16" customHeight="1" x14ac:dyDescent="0.2">
      <c r="A453" s="37"/>
      <c r="B453" s="172">
        <f>B445+1</f>
        <v>2</v>
      </c>
      <c r="C453" s="173"/>
      <c r="D453" s="178">
        <f>D445+(B453-1)*7</f>
        <v>42661</v>
      </c>
      <c r="E453" s="179"/>
      <c r="F453" s="179"/>
      <c r="G453" s="179"/>
      <c r="H453" s="179"/>
      <c r="I453" s="179"/>
      <c r="J453" s="179"/>
      <c r="K453" s="179"/>
      <c r="L453" s="179"/>
      <c r="M453" s="179"/>
      <c r="N453" s="179"/>
      <c r="O453" s="178">
        <f>O445+(B453-1)*7</f>
        <v>42664</v>
      </c>
      <c r="P453" s="179"/>
      <c r="Q453" s="179"/>
      <c r="R453" s="179"/>
      <c r="S453" s="179"/>
      <c r="T453" s="179"/>
      <c r="U453" s="180"/>
      <c r="V453" s="179">
        <f>V445+(B453-1)*7</f>
        <v>42666</v>
      </c>
      <c r="W453" s="179"/>
      <c r="X453" s="179"/>
      <c r="Y453" s="179"/>
      <c r="Z453" s="179"/>
      <c r="AA453" s="179"/>
      <c r="AB453" s="181"/>
      <c r="AC453" s="37"/>
      <c r="AD453" s="41"/>
      <c r="AE453" s="41"/>
      <c r="AF453" s="41"/>
    </row>
    <row r="454" spans="1:32" ht="16" customHeight="1" x14ac:dyDescent="0.2">
      <c r="A454" s="37"/>
      <c r="B454" s="174"/>
      <c r="C454" s="175"/>
      <c r="D454" s="182" t="s">
        <v>99</v>
      </c>
      <c r="E454" s="183"/>
      <c r="F454" s="183"/>
      <c r="G454" s="184"/>
      <c r="H454" s="185" t="s">
        <v>101</v>
      </c>
      <c r="I454" s="183"/>
      <c r="J454" s="183"/>
      <c r="K454" s="184"/>
      <c r="L454" s="183" t="s">
        <v>100</v>
      </c>
      <c r="M454" s="183"/>
      <c r="N454" s="183"/>
      <c r="O454" s="182" t="s">
        <v>99</v>
      </c>
      <c r="P454" s="183"/>
      <c r="Q454" s="183"/>
      <c r="R454" s="183"/>
      <c r="S454" s="185" t="s">
        <v>100</v>
      </c>
      <c r="T454" s="183"/>
      <c r="U454" s="186"/>
      <c r="V454" s="183" t="s">
        <v>99</v>
      </c>
      <c r="W454" s="183"/>
      <c r="X454" s="183"/>
      <c r="Y454" s="183"/>
      <c r="Z454" s="185" t="s">
        <v>100</v>
      </c>
      <c r="AA454" s="183"/>
      <c r="AB454" s="187"/>
      <c r="AC454" s="37"/>
      <c r="AD454" s="41"/>
      <c r="AE454" s="41"/>
      <c r="AF454" s="41"/>
    </row>
    <row r="455" spans="1:32" ht="16" customHeight="1" x14ac:dyDescent="0.2">
      <c r="A455" s="37"/>
      <c r="B455" s="174"/>
      <c r="C455" s="175"/>
      <c r="D455" s="188" t="s">
        <v>110</v>
      </c>
      <c r="E455" s="189"/>
      <c r="F455" s="189"/>
      <c r="G455" s="190"/>
      <c r="H455" s="43" t="s">
        <v>113</v>
      </c>
      <c r="I455" s="43" t="s">
        <v>114</v>
      </c>
      <c r="J455" s="71" t="s">
        <v>115</v>
      </c>
      <c r="K455" s="53" t="s">
        <v>116</v>
      </c>
      <c r="L455" s="74" t="s">
        <v>96</v>
      </c>
      <c r="M455" s="191"/>
      <c r="N455" s="191"/>
      <c r="O455" s="188" t="s">
        <v>110</v>
      </c>
      <c r="P455" s="189"/>
      <c r="Q455" s="189"/>
      <c r="R455" s="189"/>
      <c r="S455" s="77" t="s">
        <v>96</v>
      </c>
      <c r="T455" s="191"/>
      <c r="U455" s="192"/>
      <c r="V455" s="189" t="s">
        <v>110</v>
      </c>
      <c r="W455" s="189"/>
      <c r="X455" s="189"/>
      <c r="Y455" s="189"/>
      <c r="Z455" s="77" t="s">
        <v>96</v>
      </c>
      <c r="AA455" s="191"/>
      <c r="AB455" s="193"/>
      <c r="AC455" s="37"/>
      <c r="AD455" s="41"/>
      <c r="AE455" s="41"/>
      <c r="AF455" s="41"/>
    </row>
    <row r="456" spans="1:32" ht="16" customHeight="1" x14ac:dyDescent="0.2">
      <c r="A456" s="37"/>
      <c r="B456" s="174"/>
      <c r="C456" s="175"/>
      <c r="D456" s="82" t="s">
        <v>53</v>
      </c>
      <c r="E456" s="41" t="s">
        <v>54</v>
      </c>
      <c r="F456" s="41" t="s">
        <v>90</v>
      </c>
      <c r="G456" s="53" t="s">
        <v>55</v>
      </c>
      <c r="H456" s="43" t="s">
        <v>102</v>
      </c>
      <c r="I456" s="43">
        <f>F457</f>
        <v>2.1566358024691359E-3</v>
      </c>
      <c r="J456" s="71"/>
      <c r="K456" s="52" t="str">
        <f>IF(J456="","",ABS(I456-J456))</f>
        <v/>
      </c>
      <c r="L456" s="75" t="s">
        <v>97</v>
      </c>
      <c r="M456" s="164"/>
      <c r="N456" s="164"/>
      <c r="O456" s="82" t="s">
        <v>54</v>
      </c>
      <c r="P456" s="41" t="s">
        <v>65</v>
      </c>
      <c r="Q456" s="67" t="s">
        <v>117</v>
      </c>
      <c r="R456" s="41" t="s">
        <v>116</v>
      </c>
      <c r="S456" s="78" t="s">
        <v>97</v>
      </c>
      <c r="T456" s="164"/>
      <c r="U456" s="168"/>
      <c r="V456" s="41" t="s">
        <v>54</v>
      </c>
      <c r="W456" s="41" t="s">
        <v>65</v>
      </c>
      <c r="X456" s="67" t="s">
        <v>117</v>
      </c>
      <c r="Y456" s="41" t="s">
        <v>116</v>
      </c>
      <c r="Z456" s="78" t="s">
        <v>97</v>
      </c>
      <c r="AA456" s="164"/>
      <c r="AB456" s="169"/>
      <c r="AC456" s="37"/>
      <c r="AD456" s="41"/>
      <c r="AE456" s="41"/>
      <c r="AF456" s="41"/>
    </row>
    <row r="457" spans="1:32" ht="16" customHeight="1" x14ac:dyDescent="0.2">
      <c r="A457" s="37"/>
      <c r="B457" s="174"/>
      <c r="C457" s="175"/>
      <c r="D457" s="82" t="s">
        <v>61</v>
      </c>
      <c r="E457" s="41">
        <v>800</v>
      </c>
      <c r="F457" s="43">
        <f>F443</f>
        <v>2.1566358024691359E-3</v>
      </c>
      <c r="G457" s="53" t="s">
        <v>145</v>
      </c>
      <c r="H457" s="43" t="s">
        <v>103</v>
      </c>
      <c r="I457" s="43">
        <f>I456</f>
        <v>2.1566358024691359E-3</v>
      </c>
      <c r="J457" s="71"/>
      <c r="K457" s="52" t="str">
        <f t="shared" ref="K457:K460" si="100">IF(J457="","",ABS(I457-J457))</f>
        <v/>
      </c>
      <c r="L457" s="75" t="s">
        <v>98</v>
      </c>
      <c r="M457" s="164"/>
      <c r="N457" s="164"/>
      <c r="O457" s="82" t="s">
        <v>122</v>
      </c>
      <c r="P457" s="43">
        <f>S444</f>
        <v>3.7268518518518519E-3</v>
      </c>
      <c r="Q457" s="71"/>
      <c r="R457" s="52" t="str">
        <f>IF(Q457="","",ABS(P457-Q457))</f>
        <v/>
      </c>
      <c r="S457" s="78" t="s">
        <v>98</v>
      </c>
      <c r="T457" s="164"/>
      <c r="U457" s="168"/>
      <c r="V457" s="41" t="s">
        <v>154</v>
      </c>
      <c r="W457" s="43">
        <f>Z441+28/86400</f>
        <v>3.6824845679012345E-3</v>
      </c>
      <c r="X457" s="71"/>
      <c r="Y457" s="52" t="str">
        <f>IF(X457="","",ABS(W457-X457))</f>
        <v/>
      </c>
      <c r="Z457" s="78" t="s">
        <v>98</v>
      </c>
      <c r="AA457" s="164"/>
      <c r="AB457" s="169"/>
      <c r="AC457" s="37"/>
      <c r="AD457" s="41"/>
      <c r="AE457" s="41"/>
      <c r="AF457" s="41"/>
    </row>
    <row r="458" spans="1:32" ht="16" customHeight="1" x14ac:dyDescent="0.2">
      <c r="A458" s="37"/>
      <c r="B458" s="174"/>
      <c r="C458" s="175"/>
      <c r="D458" s="165" t="s">
        <v>111</v>
      </c>
      <c r="E458" s="166"/>
      <c r="F458" s="166"/>
      <c r="G458" s="167"/>
      <c r="H458" s="43" t="s">
        <v>104</v>
      </c>
      <c r="I458" s="43">
        <f t="shared" ref="I458:I459" si="101">I457</f>
        <v>2.1566358024691359E-3</v>
      </c>
      <c r="J458" s="71"/>
      <c r="K458" s="52" t="str">
        <f t="shared" si="100"/>
        <v/>
      </c>
      <c r="L458" s="170" t="s">
        <v>112</v>
      </c>
      <c r="M458" s="171"/>
      <c r="N458" s="90"/>
      <c r="O458" s="82" t="s">
        <v>119</v>
      </c>
      <c r="P458" s="43">
        <f>S442</f>
        <v>3.1481481481481482E-3</v>
      </c>
      <c r="Q458" s="71"/>
      <c r="R458" s="52" t="str">
        <f t="shared" ref="R458:R459" si="102">IF(Q458="","",ABS(P458-Q458))</f>
        <v/>
      </c>
      <c r="S458" s="170" t="s">
        <v>112</v>
      </c>
      <c r="T458" s="171"/>
      <c r="U458" s="83"/>
      <c r="V458" s="166" t="s">
        <v>111</v>
      </c>
      <c r="W458" s="166"/>
      <c r="X458" s="166"/>
      <c r="Y458" s="167"/>
      <c r="Z458" s="170" t="s">
        <v>112</v>
      </c>
      <c r="AA458" s="171"/>
      <c r="AB458" s="80"/>
      <c r="AC458" s="37"/>
      <c r="AD458" s="41"/>
      <c r="AE458" s="41"/>
      <c r="AF458" s="41"/>
    </row>
    <row r="459" spans="1:32" ht="16" customHeight="1" x14ac:dyDescent="0.2">
      <c r="A459" s="37"/>
      <c r="B459" s="174"/>
      <c r="C459" s="175"/>
      <c r="D459" s="82"/>
      <c r="E459" s="41"/>
      <c r="F459" s="43"/>
      <c r="G459" s="53"/>
      <c r="H459" s="43" t="s">
        <v>105</v>
      </c>
      <c r="I459" s="43">
        <f t="shared" si="101"/>
        <v>2.1566358024691359E-3</v>
      </c>
      <c r="J459" s="71"/>
      <c r="K459" s="52" t="str">
        <f t="shared" si="100"/>
        <v/>
      </c>
      <c r="L459" s="163" t="s">
        <v>88</v>
      </c>
      <c r="M459" s="164"/>
      <c r="N459" s="164"/>
      <c r="O459" s="82" t="s">
        <v>122</v>
      </c>
      <c r="P459" s="43">
        <f>P457</f>
        <v>3.7268518518518519E-3</v>
      </c>
      <c r="Q459" s="71"/>
      <c r="R459" s="52" t="str">
        <f t="shared" si="102"/>
        <v/>
      </c>
      <c r="S459" s="163" t="s">
        <v>88</v>
      </c>
      <c r="T459" s="164"/>
      <c r="U459" s="168"/>
      <c r="V459" s="30"/>
      <c r="W459" s="30"/>
      <c r="X459" s="30"/>
      <c r="Y459" s="30"/>
      <c r="Z459" s="163" t="s">
        <v>88</v>
      </c>
      <c r="AA459" s="164"/>
      <c r="AB459" s="169"/>
      <c r="AC459" s="37"/>
      <c r="AD459" s="41"/>
      <c r="AE459" s="41"/>
      <c r="AF459" s="41"/>
    </row>
    <row r="460" spans="1:32" ht="16" customHeight="1" thickBot="1" x14ac:dyDescent="0.25">
      <c r="A460" s="37"/>
      <c r="B460" s="174"/>
      <c r="C460" s="175"/>
      <c r="D460" s="82"/>
      <c r="E460" s="41"/>
      <c r="F460" s="43"/>
      <c r="G460" s="53"/>
      <c r="H460" s="43"/>
      <c r="I460" s="43"/>
      <c r="J460" s="43"/>
      <c r="K460" s="52" t="str">
        <f t="shared" si="100"/>
        <v/>
      </c>
      <c r="L460" s="163"/>
      <c r="M460" s="164"/>
      <c r="N460" s="164"/>
      <c r="O460" s="165" t="s">
        <v>111</v>
      </c>
      <c r="P460" s="166"/>
      <c r="Q460" s="166"/>
      <c r="R460" s="167"/>
      <c r="S460" s="163"/>
      <c r="T460" s="164"/>
      <c r="U460" s="168"/>
      <c r="V460" s="30"/>
      <c r="W460" s="30"/>
      <c r="X460" s="30"/>
      <c r="Y460" s="30"/>
      <c r="Z460" s="163"/>
      <c r="AA460" s="164"/>
      <c r="AB460" s="169"/>
      <c r="AC460" s="37"/>
      <c r="AD460" s="41"/>
      <c r="AE460" s="41"/>
      <c r="AF460" s="41"/>
    </row>
    <row r="461" spans="1:32" ht="16" customHeight="1" x14ac:dyDescent="0.2">
      <c r="A461" s="37"/>
      <c r="B461" s="172">
        <f>B453+1</f>
        <v>3</v>
      </c>
      <c r="C461" s="173"/>
      <c r="D461" s="178">
        <f>D445+(B461-1)*7</f>
        <v>42668</v>
      </c>
      <c r="E461" s="179"/>
      <c r="F461" s="179"/>
      <c r="G461" s="179"/>
      <c r="H461" s="179"/>
      <c r="I461" s="179"/>
      <c r="J461" s="179"/>
      <c r="K461" s="179"/>
      <c r="L461" s="179"/>
      <c r="M461" s="179"/>
      <c r="N461" s="179"/>
      <c r="O461" s="178">
        <f>O445+(B461-1)*7</f>
        <v>42671</v>
      </c>
      <c r="P461" s="179"/>
      <c r="Q461" s="179"/>
      <c r="R461" s="179"/>
      <c r="S461" s="179"/>
      <c r="T461" s="179"/>
      <c r="U461" s="180"/>
      <c r="V461" s="179">
        <f>V445+(B461-1)*7</f>
        <v>42673</v>
      </c>
      <c r="W461" s="179"/>
      <c r="X461" s="179"/>
      <c r="Y461" s="179"/>
      <c r="Z461" s="179"/>
      <c r="AA461" s="179"/>
      <c r="AB461" s="181"/>
      <c r="AC461" s="37"/>
      <c r="AD461" s="41"/>
      <c r="AE461" s="41"/>
      <c r="AF461" s="41"/>
    </row>
    <row r="462" spans="1:32" ht="16" customHeight="1" x14ac:dyDescent="0.2">
      <c r="A462" s="37"/>
      <c r="B462" s="174"/>
      <c r="C462" s="175"/>
      <c r="D462" s="182" t="s">
        <v>99</v>
      </c>
      <c r="E462" s="183"/>
      <c r="F462" s="183"/>
      <c r="G462" s="184"/>
      <c r="H462" s="185" t="s">
        <v>101</v>
      </c>
      <c r="I462" s="183"/>
      <c r="J462" s="183"/>
      <c r="K462" s="184"/>
      <c r="L462" s="183" t="s">
        <v>100</v>
      </c>
      <c r="M462" s="183"/>
      <c r="N462" s="183"/>
      <c r="O462" s="182" t="s">
        <v>99</v>
      </c>
      <c r="P462" s="183"/>
      <c r="Q462" s="183"/>
      <c r="R462" s="183"/>
      <c r="S462" s="185" t="s">
        <v>100</v>
      </c>
      <c r="T462" s="183"/>
      <c r="U462" s="186"/>
      <c r="V462" s="183" t="s">
        <v>99</v>
      </c>
      <c r="W462" s="183"/>
      <c r="X462" s="183"/>
      <c r="Y462" s="183"/>
      <c r="Z462" s="185" t="s">
        <v>100</v>
      </c>
      <c r="AA462" s="183"/>
      <c r="AB462" s="187"/>
      <c r="AC462" s="37"/>
      <c r="AD462" s="41"/>
      <c r="AE462" s="41"/>
      <c r="AF462" s="41"/>
    </row>
    <row r="463" spans="1:32" ht="16" customHeight="1" x14ac:dyDescent="0.2">
      <c r="A463" s="37"/>
      <c r="B463" s="174"/>
      <c r="C463" s="175"/>
      <c r="D463" s="188" t="s">
        <v>110</v>
      </c>
      <c r="E463" s="189"/>
      <c r="F463" s="189"/>
      <c r="G463" s="190"/>
      <c r="H463" s="43" t="s">
        <v>113</v>
      </c>
      <c r="I463" s="43" t="s">
        <v>114</v>
      </c>
      <c r="J463" s="71" t="s">
        <v>115</v>
      </c>
      <c r="K463" s="53" t="s">
        <v>116</v>
      </c>
      <c r="L463" s="74" t="s">
        <v>96</v>
      </c>
      <c r="M463" s="191"/>
      <c r="N463" s="191"/>
      <c r="O463" s="188" t="s">
        <v>110</v>
      </c>
      <c r="P463" s="189"/>
      <c r="Q463" s="189"/>
      <c r="R463" s="189"/>
      <c r="S463" s="77" t="s">
        <v>96</v>
      </c>
      <c r="T463" s="191"/>
      <c r="U463" s="192"/>
      <c r="V463" s="189" t="s">
        <v>110</v>
      </c>
      <c r="W463" s="189"/>
      <c r="X463" s="189"/>
      <c r="Y463" s="189"/>
      <c r="Z463" s="77" t="s">
        <v>96</v>
      </c>
      <c r="AA463" s="191"/>
      <c r="AB463" s="193"/>
      <c r="AC463" s="37"/>
      <c r="AD463" s="41"/>
      <c r="AE463" s="41"/>
      <c r="AF463" s="41"/>
    </row>
    <row r="464" spans="1:32" ht="16" customHeight="1" x14ac:dyDescent="0.2">
      <c r="A464" s="37"/>
      <c r="B464" s="174"/>
      <c r="C464" s="175"/>
      <c r="D464" s="82" t="s">
        <v>53</v>
      </c>
      <c r="E464" s="41" t="s">
        <v>54</v>
      </c>
      <c r="F464" s="41" t="s">
        <v>90</v>
      </c>
      <c r="G464" s="53" t="s">
        <v>55</v>
      </c>
      <c r="H464" s="43" t="s">
        <v>102</v>
      </c>
      <c r="I464" s="43">
        <f>F465</f>
        <v>3.3135609567901229E-3</v>
      </c>
      <c r="J464" s="71"/>
      <c r="K464" s="52" t="str">
        <f>IF(J464="","",ABS(I464-J464))</f>
        <v/>
      </c>
      <c r="L464" s="75" t="s">
        <v>97</v>
      </c>
      <c r="M464" s="164"/>
      <c r="N464" s="164"/>
      <c r="O464" s="82" t="s">
        <v>54</v>
      </c>
      <c r="P464" s="41" t="s">
        <v>65</v>
      </c>
      <c r="Q464" s="67" t="s">
        <v>117</v>
      </c>
      <c r="R464" s="41" t="s">
        <v>116</v>
      </c>
      <c r="S464" s="78" t="s">
        <v>97</v>
      </c>
      <c r="T464" s="164"/>
      <c r="U464" s="168"/>
      <c r="V464" s="41" t="s">
        <v>54</v>
      </c>
      <c r="W464" s="41" t="s">
        <v>65</v>
      </c>
      <c r="X464" s="67" t="s">
        <v>117</v>
      </c>
      <c r="Y464" s="41" t="s">
        <v>116</v>
      </c>
      <c r="Z464" s="78" t="s">
        <v>97</v>
      </c>
      <c r="AA464" s="164"/>
      <c r="AB464" s="169"/>
      <c r="AC464" s="37"/>
      <c r="AD464" s="41"/>
      <c r="AE464" s="41"/>
      <c r="AF464" s="41"/>
    </row>
    <row r="465" spans="1:32" ht="16" customHeight="1" x14ac:dyDescent="0.2">
      <c r="A465" s="37"/>
      <c r="B465" s="174"/>
      <c r="C465" s="175"/>
      <c r="D465" s="82" t="s">
        <v>60</v>
      </c>
      <c r="E465" s="41">
        <v>1200</v>
      </c>
      <c r="F465" s="43">
        <f>L441</f>
        <v>3.3135609567901229E-3</v>
      </c>
      <c r="G465" s="53" t="s">
        <v>80</v>
      </c>
      <c r="H465" s="43" t="s">
        <v>103</v>
      </c>
      <c r="I465" s="43">
        <f t="shared" ref="I465:I468" si="103">F466</f>
        <v>2.7247299382716049E-3</v>
      </c>
      <c r="J465" s="71"/>
      <c r="K465" s="52" t="str">
        <f t="shared" ref="K465:K470" si="104">IF(J465="","",ABS(I465-J465))</f>
        <v/>
      </c>
      <c r="L465" s="75" t="s">
        <v>98</v>
      </c>
      <c r="M465" s="164"/>
      <c r="N465" s="164"/>
      <c r="O465" s="82" t="s">
        <v>122</v>
      </c>
      <c r="P465" s="43">
        <f>S444</f>
        <v>3.7268518518518519E-3</v>
      </c>
      <c r="Q465" s="71"/>
      <c r="R465" s="52" t="str">
        <f>IF(Q465="","",ABS(P465-Q465))</f>
        <v/>
      </c>
      <c r="S465" s="78" t="s">
        <v>98</v>
      </c>
      <c r="T465" s="164"/>
      <c r="U465" s="168"/>
      <c r="V465" s="41" t="s">
        <v>139</v>
      </c>
      <c r="W465" s="43">
        <f>Z441+28/86400</f>
        <v>3.6824845679012345E-3</v>
      </c>
      <c r="X465" s="71"/>
      <c r="Y465" s="52" t="str">
        <f>IF(X465="","",ABS(W465-X465))</f>
        <v/>
      </c>
      <c r="Z465" s="78" t="s">
        <v>98</v>
      </c>
      <c r="AA465" s="164"/>
      <c r="AB465" s="169"/>
      <c r="AC465" s="37"/>
      <c r="AD465" s="41"/>
      <c r="AE465" s="41"/>
      <c r="AF465" s="41"/>
    </row>
    <row r="466" spans="1:32" ht="16" customHeight="1" x14ac:dyDescent="0.2">
      <c r="A466" s="37"/>
      <c r="B466" s="174"/>
      <c r="C466" s="175"/>
      <c r="D466" s="82" t="s">
        <v>60</v>
      </c>
      <c r="E466" s="41">
        <v>1000</v>
      </c>
      <c r="F466" s="43">
        <f>F444</f>
        <v>2.7247299382716049E-3</v>
      </c>
      <c r="G466" s="53" t="s">
        <v>80</v>
      </c>
      <c r="H466" s="43" t="s">
        <v>104</v>
      </c>
      <c r="I466" s="43">
        <f t="shared" si="103"/>
        <v>2.1566358024691359E-3</v>
      </c>
      <c r="J466" s="71"/>
      <c r="K466" s="52" t="str">
        <f t="shared" si="104"/>
        <v/>
      </c>
      <c r="L466" s="170" t="s">
        <v>112</v>
      </c>
      <c r="M466" s="171"/>
      <c r="N466" s="90"/>
      <c r="O466" s="82" t="s">
        <v>119</v>
      </c>
      <c r="P466" s="43">
        <f>S443</f>
        <v>3.2523148148148147E-3</v>
      </c>
      <c r="Q466" s="71"/>
      <c r="R466" s="52" t="str">
        <f t="shared" ref="R466:R467" si="105">IF(Q466="","",ABS(P466-Q466))</f>
        <v/>
      </c>
      <c r="S466" s="170" t="s">
        <v>112</v>
      </c>
      <c r="T466" s="171"/>
      <c r="U466" s="83"/>
      <c r="V466" s="166" t="s">
        <v>111</v>
      </c>
      <c r="W466" s="166"/>
      <c r="X466" s="166"/>
      <c r="Y466" s="167"/>
      <c r="Z466" s="170" t="s">
        <v>112</v>
      </c>
      <c r="AA466" s="171"/>
      <c r="AB466" s="80"/>
      <c r="AC466" s="37"/>
      <c r="AD466" s="41"/>
      <c r="AE466" s="41"/>
      <c r="AF466" s="41"/>
    </row>
    <row r="467" spans="1:32" ht="16" customHeight="1" x14ac:dyDescent="0.2">
      <c r="A467" s="37"/>
      <c r="B467" s="174"/>
      <c r="C467" s="175"/>
      <c r="D467" s="82" t="s">
        <v>60</v>
      </c>
      <c r="E467" s="41">
        <v>800</v>
      </c>
      <c r="F467" s="43">
        <f>F443</f>
        <v>2.1566358024691359E-3</v>
      </c>
      <c r="G467" s="53" t="s">
        <v>80</v>
      </c>
      <c r="H467" s="43" t="s">
        <v>105</v>
      </c>
      <c r="I467" s="43">
        <f t="shared" si="103"/>
        <v>1.6116898148148149E-3</v>
      </c>
      <c r="J467" s="71"/>
      <c r="K467" s="52" t="str">
        <f t="shared" si="104"/>
        <v/>
      </c>
      <c r="L467" s="163" t="s">
        <v>88</v>
      </c>
      <c r="M467" s="164"/>
      <c r="N467" s="164"/>
      <c r="O467" s="82" t="s">
        <v>122</v>
      </c>
      <c r="P467" s="43">
        <f>P465</f>
        <v>3.7268518518518519E-3</v>
      </c>
      <c r="Q467" s="71"/>
      <c r="R467" s="52" t="str">
        <f t="shared" si="105"/>
        <v/>
      </c>
      <c r="S467" s="163" t="s">
        <v>88</v>
      </c>
      <c r="T467" s="164"/>
      <c r="U467" s="168"/>
      <c r="V467" s="30"/>
      <c r="W467" s="30"/>
      <c r="X467" s="30"/>
      <c r="Y467" s="30"/>
      <c r="Z467" s="163" t="s">
        <v>88</v>
      </c>
      <c r="AA467" s="164"/>
      <c r="AB467" s="169"/>
      <c r="AC467" s="37"/>
      <c r="AD467" s="41"/>
      <c r="AE467" s="41"/>
      <c r="AF467" s="41"/>
    </row>
    <row r="468" spans="1:32" ht="16" customHeight="1" x14ac:dyDescent="0.2">
      <c r="A468" s="37"/>
      <c r="B468" s="174"/>
      <c r="C468" s="175"/>
      <c r="D468" s="82" t="s">
        <v>60</v>
      </c>
      <c r="E468" s="41">
        <v>600</v>
      </c>
      <c r="F468" s="43">
        <f>F442</f>
        <v>1.6116898148148149E-3</v>
      </c>
      <c r="G468" s="53" t="s">
        <v>80</v>
      </c>
      <c r="H468" s="43" t="s">
        <v>106</v>
      </c>
      <c r="I468" s="43">
        <f t="shared" si="103"/>
        <v>1.0551697530864197E-3</v>
      </c>
      <c r="J468" s="71"/>
      <c r="K468" s="52" t="str">
        <f t="shared" si="104"/>
        <v/>
      </c>
      <c r="L468" s="163"/>
      <c r="M468" s="164"/>
      <c r="N468" s="164"/>
      <c r="O468" s="165" t="s">
        <v>111</v>
      </c>
      <c r="P468" s="166"/>
      <c r="Q468" s="166"/>
      <c r="R468" s="166"/>
      <c r="S468" s="163"/>
      <c r="T468" s="164"/>
      <c r="U468" s="168"/>
      <c r="V468" s="30"/>
      <c r="W468" s="30"/>
      <c r="X468" s="30"/>
      <c r="Y468" s="30"/>
      <c r="Z468" s="163"/>
      <c r="AA468" s="164"/>
      <c r="AB468" s="169"/>
      <c r="AC468" s="37"/>
      <c r="AD468" s="41"/>
      <c r="AE468" s="41"/>
      <c r="AF468" s="41"/>
    </row>
    <row r="469" spans="1:32" ht="16" customHeight="1" x14ac:dyDescent="0.2">
      <c r="A469" s="37"/>
      <c r="B469" s="174"/>
      <c r="C469" s="175"/>
      <c r="D469" s="82" t="s">
        <v>60</v>
      </c>
      <c r="E469" s="41">
        <v>400</v>
      </c>
      <c r="F469" s="43">
        <f>F441</f>
        <v>1.0551697530864197E-3</v>
      </c>
      <c r="G469" s="53" t="s">
        <v>80</v>
      </c>
      <c r="H469" s="43"/>
      <c r="I469" s="43"/>
      <c r="J469" s="43"/>
      <c r="K469" s="52"/>
      <c r="L469" s="50"/>
      <c r="M469" s="41"/>
      <c r="N469" s="85"/>
      <c r="O469" s="82"/>
      <c r="P469" s="41"/>
      <c r="Q469" s="41"/>
      <c r="R469" s="41"/>
      <c r="S469" s="79"/>
      <c r="T469" s="67"/>
      <c r="U469" s="99"/>
      <c r="V469" s="30"/>
      <c r="W469" s="30"/>
      <c r="X469" s="30"/>
      <c r="Y469" s="30"/>
      <c r="Z469" s="79"/>
      <c r="AA469" s="67"/>
      <c r="AB469" s="66"/>
      <c r="AC469" s="37"/>
      <c r="AD469" s="41"/>
      <c r="AE469" s="41"/>
      <c r="AF469" s="41"/>
    </row>
    <row r="470" spans="1:32" ht="16" customHeight="1" thickBot="1" x14ac:dyDescent="0.25">
      <c r="A470" s="37"/>
      <c r="B470" s="174"/>
      <c r="C470" s="175"/>
      <c r="D470" s="165" t="s">
        <v>111</v>
      </c>
      <c r="E470" s="166"/>
      <c r="F470" s="166"/>
      <c r="G470" s="167"/>
      <c r="H470" s="43"/>
      <c r="I470" s="43"/>
      <c r="J470" s="43"/>
      <c r="K470" s="52" t="str">
        <f t="shared" si="104"/>
        <v/>
      </c>
      <c r="L470" s="41"/>
      <c r="M470" s="41"/>
      <c r="N470" s="30"/>
      <c r="O470" s="82"/>
      <c r="P470" s="43"/>
      <c r="Q470" s="43"/>
      <c r="R470" s="52"/>
      <c r="S470" s="50"/>
      <c r="T470" s="41"/>
      <c r="U470" s="85"/>
      <c r="V470" s="30"/>
      <c r="W470" s="30"/>
      <c r="X470" s="30"/>
      <c r="Y470" s="30"/>
      <c r="Z470" s="50"/>
      <c r="AA470" s="41"/>
      <c r="AB470" s="35"/>
      <c r="AC470" s="37"/>
      <c r="AD470" s="41"/>
      <c r="AE470" s="41"/>
      <c r="AF470" s="41"/>
    </row>
    <row r="471" spans="1:32" ht="16" customHeight="1" x14ac:dyDescent="0.2">
      <c r="A471" s="37"/>
      <c r="B471" s="172">
        <f>B461+1</f>
        <v>4</v>
      </c>
      <c r="C471" s="173"/>
      <c r="D471" s="178">
        <f>D445+(B471-1)*7</f>
        <v>42675</v>
      </c>
      <c r="E471" s="179"/>
      <c r="F471" s="179"/>
      <c r="G471" s="179"/>
      <c r="H471" s="179"/>
      <c r="I471" s="179"/>
      <c r="J471" s="179"/>
      <c r="K471" s="179"/>
      <c r="L471" s="179"/>
      <c r="M471" s="179"/>
      <c r="N471" s="179"/>
      <c r="O471" s="178">
        <f>O445+(B471-1)*7</f>
        <v>42678</v>
      </c>
      <c r="P471" s="179"/>
      <c r="Q471" s="179"/>
      <c r="R471" s="179"/>
      <c r="S471" s="179"/>
      <c r="T471" s="179"/>
      <c r="U471" s="180"/>
      <c r="V471" s="179">
        <f>V445+(B471-1)*7</f>
        <v>42680</v>
      </c>
      <c r="W471" s="179"/>
      <c r="X471" s="179"/>
      <c r="Y471" s="179"/>
      <c r="Z471" s="179"/>
      <c r="AA471" s="179"/>
      <c r="AB471" s="181"/>
      <c r="AC471" s="37"/>
      <c r="AD471" s="41"/>
      <c r="AE471" s="41"/>
      <c r="AF471" s="41"/>
    </row>
    <row r="472" spans="1:32" ht="16" customHeight="1" x14ac:dyDescent="0.2">
      <c r="A472" s="37"/>
      <c r="B472" s="174"/>
      <c r="C472" s="175"/>
      <c r="D472" s="182" t="s">
        <v>99</v>
      </c>
      <c r="E472" s="183"/>
      <c r="F472" s="183"/>
      <c r="G472" s="184"/>
      <c r="H472" s="185" t="s">
        <v>101</v>
      </c>
      <c r="I472" s="183"/>
      <c r="J472" s="183"/>
      <c r="K472" s="184"/>
      <c r="L472" s="183" t="s">
        <v>100</v>
      </c>
      <c r="M472" s="183"/>
      <c r="N472" s="183"/>
      <c r="O472" s="182" t="s">
        <v>99</v>
      </c>
      <c r="P472" s="183"/>
      <c r="Q472" s="183"/>
      <c r="R472" s="183"/>
      <c r="S472" s="185" t="s">
        <v>100</v>
      </c>
      <c r="T472" s="183"/>
      <c r="U472" s="186"/>
      <c r="V472" s="183" t="s">
        <v>99</v>
      </c>
      <c r="W472" s="183"/>
      <c r="X472" s="183"/>
      <c r="Y472" s="183"/>
      <c r="Z472" s="185" t="s">
        <v>100</v>
      </c>
      <c r="AA472" s="183"/>
      <c r="AB472" s="187"/>
      <c r="AC472" s="37"/>
      <c r="AD472" s="41"/>
      <c r="AE472" s="41"/>
      <c r="AF472" s="41"/>
    </row>
    <row r="473" spans="1:32" ht="16" customHeight="1" x14ac:dyDescent="0.2">
      <c r="A473" s="37"/>
      <c r="B473" s="174"/>
      <c r="C473" s="175"/>
      <c r="D473" s="188" t="s">
        <v>110</v>
      </c>
      <c r="E473" s="189"/>
      <c r="F473" s="189"/>
      <c r="G473" s="190"/>
      <c r="H473" s="43" t="s">
        <v>113</v>
      </c>
      <c r="I473" s="43" t="s">
        <v>114</v>
      </c>
      <c r="J473" s="71" t="s">
        <v>115</v>
      </c>
      <c r="K473" s="53" t="s">
        <v>116</v>
      </c>
      <c r="L473" s="74" t="s">
        <v>96</v>
      </c>
      <c r="M473" s="191"/>
      <c r="N473" s="191"/>
      <c r="O473" s="188" t="s">
        <v>110</v>
      </c>
      <c r="P473" s="189"/>
      <c r="Q473" s="189"/>
      <c r="R473" s="189"/>
      <c r="S473" s="77" t="s">
        <v>96</v>
      </c>
      <c r="T473" s="191"/>
      <c r="U473" s="192"/>
      <c r="V473" s="189" t="s">
        <v>110</v>
      </c>
      <c r="W473" s="189"/>
      <c r="X473" s="189"/>
      <c r="Y473" s="189"/>
      <c r="Z473" s="77" t="s">
        <v>96</v>
      </c>
      <c r="AA473" s="191"/>
      <c r="AB473" s="193"/>
      <c r="AC473" s="37"/>
      <c r="AD473" s="41"/>
      <c r="AE473" s="41"/>
      <c r="AF473" s="41"/>
    </row>
    <row r="474" spans="1:32" ht="16" customHeight="1" x14ac:dyDescent="0.2">
      <c r="A474" s="37"/>
      <c r="B474" s="174"/>
      <c r="C474" s="175"/>
      <c r="D474" s="82" t="s">
        <v>53</v>
      </c>
      <c r="E474" s="41" t="s">
        <v>54</v>
      </c>
      <c r="F474" s="41" t="s">
        <v>90</v>
      </c>
      <c r="G474" s="53" t="s">
        <v>55</v>
      </c>
      <c r="H474" s="43" t="s">
        <v>102</v>
      </c>
      <c r="I474" s="43">
        <f>F475</f>
        <v>2.7247299382716049E-3</v>
      </c>
      <c r="J474" s="71"/>
      <c r="K474" s="52" t="str">
        <f>IF(J474="","",ABS(I474-J474))</f>
        <v/>
      </c>
      <c r="L474" s="75" t="s">
        <v>97</v>
      </c>
      <c r="M474" s="164"/>
      <c r="N474" s="164"/>
      <c r="O474" s="82" t="s">
        <v>54</v>
      </c>
      <c r="P474" s="41" t="s">
        <v>65</v>
      </c>
      <c r="Q474" s="67" t="s">
        <v>117</v>
      </c>
      <c r="R474" s="41" t="s">
        <v>116</v>
      </c>
      <c r="S474" s="78" t="s">
        <v>97</v>
      </c>
      <c r="T474" s="164"/>
      <c r="U474" s="168"/>
      <c r="V474" s="41" t="s">
        <v>54</v>
      </c>
      <c r="W474" s="41" t="s">
        <v>65</v>
      </c>
      <c r="X474" s="67" t="s">
        <v>117</v>
      </c>
      <c r="Y474" s="41" t="s">
        <v>116</v>
      </c>
      <c r="Z474" s="78" t="s">
        <v>97</v>
      </c>
      <c r="AA474" s="164"/>
      <c r="AB474" s="169"/>
      <c r="AC474" s="37"/>
      <c r="AD474" s="41"/>
      <c r="AE474" s="41"/>
      <c r="AF474" s="41"/>
    </row>
    <row r="475" spans="1:32" ht="16" customHeight="1" x14ac:dyDescent="0.2">
      <c r="A475" s="37"/>
      <c r="B475" s="174"/>
      <c r="C475" s="175"/>
      <c r="D475" s="82" t="s">
        <v>58</v>
      </c>
      <c r="E475" s="41">
        <v>1000</v>
      </c>
      <c r="F475" s="43">
        <f>F444</f>
        <v>2.7247299382716049E-3</v>
      </c>
      <c r="G475" s="53" t="s">
        <v>57</v>
      </c>
      <c r="H475" s="43" t="s">
        <v>103</v>
      </c>
      <c r="I475" s="43">
        <f>F475</f>
        <v>2.7247299382716049E-3</v>
      </c>
      <c r="J475" s="71"/>
      <c r="K475" s="52" t="str">
        <f t="shared" ref="K475:K478" si="106">IF(J475="","",ABS(I475-J475))</f>
        <v/>
      </c>
      <c r="L475" s="75" t="s">
        <v>98</v>
      </c>
      <c r="M475" s="164"/>
      <c r="N475" s="164"/>
      <c r="O475" s="82" t="s">
        <v>118</v>
      </c>
      <c r="P475" s="43">
        <f>S444</f>
        <v>3.7268518518518519E-3</v>
      </c>
      <c r="Q475" s="71"/>
      <c r="R475" s="76" t="str">
        <f>IF(Q475="","",ABS(P475-Q475))</f>
        <v/>
      </c>
      <c r="S475" s="78" t="s">
        <v>98</v>
      </c>
      <c r="T475" s="164"/>
      <c r="U475" s="168"/>
      <c r="V475" s="41" t="s">
        <v>155</v>
      </c>
      <c r="W475" s="43">
        <f>Z441+28/86400</f>
        <v>3.6824845679012345E-3</v>
      </c>
      <c r="X475" s="71"/>
      <c r="Y475" s="52" t="str">
        <f>IF(X475="","",ABS(W475-X475))</f>
        <v/>
      </c>
      <c r="Z475" s="78" t="s">
        <v>98</v>
      </c>
      <c r="AA475" s="164"/>
      <c r="AB475" s="169"/>
      <c r="AC475" s="37"/>
      <c r="AD475" s="41"/>
      <c r="AE475" s="41"/>
      <c r="AF475" s="41"/>
    </row>
    <row r="476" spans="1:32" ht="16" customHeight="1" x14ac:dyDescent="0.2">
      <c r="A476" s="37"/>
      <c r="B476" s="174"/>
      <c r="C476" s="175"/>
      <c r="D476" s="165" t="s">
        <v>111</v>
      </c>
      <c r="E476" s="166"/>
      <c r="F476" s="166"/>
      <c r="G476" s="167"/>
      <c r="H476" s="43" t="s">
        <v>104</v>
      </c>
      <c r="I476" s="43">
        <f>F475</f>
        <v>2.7247299382716049E-3</v>
      </c>
      <c r="J476" s="71"/>
      <c r="K476" s="52" t="str">
        <f t="shared" si="106"/>
        <v/>
      </c>
      <c r="L476" s="170" t="s">
        <v>112</v>
      </c>
      <c r="M476" s="171"/>
      <c r="N476" s="90"/>
      <c r="O476" s="82" t="s">
        <v>120</v>
      </c>
      <c r="P476" s="43">
        <f>S442</f>
        <v>3.1481481481481482E-3</v>
      </c>
      <c r="Q476" s="71"/>
      <c r="R476" s="76" t="str">
        <f t="shared" ref="R476:R477" si="107">IF(Q476="","",ABS(P476-Q476))</f>
        <v/>
      </c>
      <c r="S476" s="170" t="s">
        <v>112</v>
      </c>
      <c r="T476" s="171"/>
      <c r="U476" s="83"/>
      <c r="V476" s="166" t="s">
        <v>111</v>
      </c>
      <c r="W476" s="166"/>
      <c r="X476" s="166"/>
      <c r="Y476" s="167"/>
      <c r="Z476" s="170" t="s">
        <v>112</v>
      </c>
      <c r="AA476" s="171"/>
      <c r="AB476" s="80"/>
      <c r="AC476" s="37"/>
      <c r="AD476" s="41"/>
      <c r="AE476" s="41"/>
      <c r="AF476" s="41"/>
    </row>
    <row r="477" spans="1:32" ht="16" customHeight="1" x14ac:dyDescent="0.2">
      <c r="A477" s="37"/>
      <c r="B477" s="174"/>
      <c r="C477" s="175"/>
      <c r="D477" s="165"/>
      <c r="E477" s="166"/>
      <c r="F477" s="166"/>
      <c r="G477" s="167"/>
      <c r="H477" s="43" t="s">
        <v>105</v>
      </c>
      <c r="I477" s="43">
        <f>F475</f>
        <v>2.7247299382716049E-3</v>
      </c>
      <c r="J477" s="71"/>
      <c r="K477" s="52" t="str">
        <f t="shared" si="106"/>
        <v/>
      </c>
      <c r="L477" s="163" t="s">
        <v>88</v>
      </c>
      <c r="M477" s="164"/>
      <c r="N477" s="164"/>
      <c r="O477" s="82" t="s">
        <v>122</v>
      </c>
      <c r="P477" s="43">
        <f>S444</f>
        <v>3.7268518518518519E-3</v>
      </c>
      <c r="Q477" s="71"/>
      <c r="R477" s="76" t="str">
        <f t="shared" si="107"/>
        <v/>
      </c>
      <c r="S477" s="163" t="s">
        <v>88</v>
      </c>
      <c r="T477" s="164"/>
      <c r="U477" s="168"/>
      <c r="V477" s="30"/>
      <c r="W477" s="30"/>
      <c r="X477" s="30"/>
      <c r="Y477" s="30"/>
      <c r="Z477" s="163" t="s">
        <v>88</v>
      </c>
      <c r="AA477" s="164"/>
      <c r="AB477" s="169"/>
      <c r="AC477" s="37"/>
      <c r="AD477" s="41"/>
      <c r="AE477" s="41"/>
      <c r="AF477" s="41"/>
    </row>
    <row r="478" spans="1:32" ht="16" customHeight="1" thickBot="1" x14ac:dyDescent="0.25">
      <c r="A478" s="37"/>
      <c r="B478" s="174"/>
      <c r="C478" s="175"/>
      <c r="D478" s="84"/>
      <c r="E478" s="43"/>
      <c r="F478" s="43"/>
      <c r="G478" s="53"/>
      <c r="H478" s="43" t="s">
        <v>106</v>
      </c>
      <c r="I478" s="43">
        <f>I477</f>
        <v>2.7247299382716049E-3</v>
      </c>
      <c r="J478" s="71"/>
      <c r="K478" s="52" t="str">
        <f t="shared" si="106"/>
        <v/>
      </c>
      <c r="L478" s="163"/>
      <c r="M478" s="164"/>
      <c r="N478" s="164"/>
      <c r="O478" s="165" t="s">
        <v>111</v>
      </c>
      <c r="P478" s="166"/>
      <c r="Q478" s="166"/>
      <c r="R478" s="167"/>
      <c r="S478" s="163"/>
      <c r="T478" s="164"/>
      <c r="U478" s="168"/>
      <c r="V478" s="30"/>
      <c r="W478" s="30"/>
      <c r="X478" s="30"/>
      <c r="Y478" s="30"/>
      <c r="Z478" s="163"/>
      <c r="AA478" s="164"/>
      <c r="AB478" s="169"/>
      <c r="AC478" s="37"/>
      <c r="AD478" s="41"/>
      <c r="AE478" s="41"/>
      <c r="AF478" s="41"/>
    </row>
    <row r="479" spans="1:32" ht="16" customHeight="1" x14ac:dyDescent="0.2">
      <c r="A479" s="37"/>
      <c r="B479" s="172">
        <f>B471+1</f>
        <v>5</v>
      </c>
      <c r="C479" s="173"/>
      <c r="D479" s="178">
        <f>D445+(B479-1)*7</f>
        <v>42682</v>
      </c>
      <c r="E479" s="179"/>
      <c r="F479" s="179"/>
      <c r="G479" s="179"/>
      <c r="H479" s="179"/>
      <c r="I479" s="179"/>
      <c r="J479" s="179"/>
      <c r="K479" s="179"/>
      <c r="L479" s="179"/>
      <c r="M479" s="179"/>
      <c r="N479" s="179"/>
      <c r="O479" s="178">
        <f>O445+(B479-1)*7</f>
        <v>42685</v>
      </c>
      <c r="P479" s="179"/>
      <c r="Q479" s="179"/>
      <c r="R479" s="179"/>
      <c r="S479" s="179"/>
      <c r="T479" s="179"/>
      <c r="U479" s="180"/>
      <c r="V479" s="179">
        <f>V445+(B479-1)*7</f>
        <v>42687</v>
      </c>
      <c r="W479" s="179"/>
      <c r="X479" s="179"/>
      <c r="Y479" s="179"/>
      <c r="Z479" s="179"/>
      <c r="AA479" s="179"/>
      <c r="AB479" s="181"/>
      <c r="AC479" s="37"/>
      <c r="AD479" s="41"/>
      <c r="AE479" s="41"/>
      <c r="AF479" s="41"/>
    </row>
    <row r="480" spans="1:32" ht="16" customHeight="1" x14ac:dyDescent="0.2">
      <c r="A480" s="37"/>
      <c r="B480" s="174"/>
      <c r="C480" s="175"/>
      <c r="D480" s="182" t="s">
        <v>99</v>
      </c>
      <c r="E480" s="183"/>
      <c r="F480" s="183"/>
      <c r="G480" s="184"/>
      <c r="H480" s="185" t="s">
        <v>101</v>
      </c>
      <c r="I480" s="183"/>
      <c r="J480" s="183"/>
      <c r="K480" s="184"/>
      <c r="L480" s="183" t="s">
        <v>100</v>
      </c>
      <c r="M480" s="183"/>
      <c r="N480" s="183"/>
      <c r="O480" s="182" t="s">
        <v>99</v>
      </c>
      <c r="P480" s="183"/>
      <c r="Q480" s="183"/>
      <c r="R480" s="183"/>
      <c r="S480" s="185" t="s">
        <v>100</v>
      </c>
      <c r="T480" s="183"/>
      <c r="U480" s="186"/>
      <c r="V480" s="183" t="s">
        <v>99</v>
      </c>
      <c r="W480" s="183"/>
      <c r="X480" s="183"/>
      <c r="Y480" s="183"/>
      <c r="Z480" s="185" t="s">
        <v>100</v>
      </c>
      <c r="AA480" s="183"/>
      <c r="AB480" s="187"/>
      <c r="AC480" s="37"/>
      <c r="AD480" s="41"/>
      <c r="AE480" s="41"/>
      <c r="AF480" s="41"/>
    </row>
    <row r="481" spans="1:32" ht="16" customHeight="1" x14ac:dyDescent="0.2">
      <c r="A481" s="37"/>
      <c r="B481" s="174"/>
      <c r="C481" s="175"/>
      <c r="D481" s="188" t="s">
        <v>110</v>
      </c>
      <c r="E481" s="189"/>
      <c r="F481" s="189"/>
      <c r="G481" s="190"/>
      <c r="H481" s="43" t="s">
        <v>113</v>
      </c>
      <c r="I481" s="43" t="s">
        <v>114</v>
      </c>
      <c r="J481" s="71" t="s">
        <v>115</v>
      </c>
      <c r="K481" s="53" t="s">
        <v>116</v>
      </c>
      <c r="L481" s="74" t="s">
        <v>96</v>
      </c>
      <c r="M481" s="191"/>
      <c r="N481" s="191"/>
      <c r="O481" s="188" t="s">
        <v>110</v>
      </c>
      <c r="P481" s="189"/>
      <c r="Q481" s="189"/>
      <c r="R481" s="189"/>
      <c r="S481" s="77" t="s">
        <v>96</v>
      </c>
      <c r="T481" s="191"/>
      <c r="U481" s="192"/>
      <c r="V481" s="189" t="s">
        <v>110</v>
      </c>
      <c r="W481" s="189"/>
      <c r="X481" s="189"/>
      <c r="Y481" s="189"/>
      <c r="Z481" s="77" t="s">
        <v>96</v>
      </c>
      <c r="AA481" s="191"/>
      <c r="AB481" s="193"/>
      <c r="AC481" s="37"/>
      <c r="AD481" s="41"/>
      <c r="AE481" s="41"/>
      <c r="AF481" s="41"/>
    </row>
    <row r="482" spans="1:32" ht="16" customHeight="1" x14ac:dyDescent="0.2">
      <c r="A482" s="37"/>
      <c r="B482" s="174"/>
      <c r="C482" s="175"/>
      <c r="D482" s="82" t="s">
        <v>53</v>
      </c>
      <c r="E482" s="41" t="s">
        <v>54</v>
      </c>
      <c r="F482" s="41" t="s">
        <v>90</v>
      </c>
      <c r="G482" s="53" t="s">
        <v>55</v>
      </c>
      <c r="H482" s="43" t="s">
        <v>102</v>
      </c>
      <c r="I482" s="43">
        <f>F483</f>
        <v>4.5076195987654322E-3</v>
      </c>
      <c r="J482" s="71"/>
      <c r="K482" s="52" t="str">
        <f>IF(J482="","",ABS(I482-J482))</f>
        <v/>
      </c>
      <c r="L482" s="75" t="s">
        <v>97</v>
      </c>
      <c r="M482" s="164"/>
      <c r="N482" s="164"/>
      <c r="O482" s="82" t="s">
        <v>54</v>
      </c>
      <c r="P482" s="41" t="s">
        <v>65</v>
      </c>
      <c r="Q482" s="67" t="s">
        <v>117</v>
      </c>
      <c r="R482" s="41" t="s">
        <v>116</v>
      </c>
      <c r="S482" s="78" t="s">
        <v>97</v>
      </c>
      <c r="T482" s="164"/>
      <c r="U482" s="168"/>
      <c r="V482" s="41" t="s">
        <v>54</v>
      </c>
      <c r="W482" s="41" t="s">
        <v>65</v>
      </c>
      <c r="X482" s="67" t="s">
        <v>117</v>
      </c>
      <c r="Y482" s="41" t="s">
        <v>116</v>
      </c>
      <c r="Z482" s="78" t="s">
        <v>97</v>
      </c>
      <c r="AA482" s="164"/>
      <c r="AB482" s="169"/>
      <c r="AC482" s="37"/>
      <c r="AD482" s="41"/>
      <c r="AE482" s="41"/>
      <c r="AF482" s="41"/>
    </row>
    <row r="483" spans="1:32" ht="16" customHeight="1" x14ac:dyDescent="0.2">
      <c r="A483" s="37"/>
      <c r="B483" s="174"/>
      <c r="C483" s="175"/>
      <c r="D483" s="82" t="s">
        <v>64</v>
      </c>
      <c r="E483" s="41">
        <v>1600</v>
      </c>
      <c r="F483" s="43">
        <f>L442</f>
        <v>4.5076195987654322E-3</v>
      </c>
      <c r="G483" s="53" t="s">
        <v>57</v>
      </c>
      <c r="H483" s="43" t="s">
        <v>103</v>
      </c>
      <c r="I483" s="43">
        <f>F483</f>
        <v>4.5076195987654322E-3</v>
      </c>
      <c r="J483" s="71"/>
      <c r="K483" s="52" t="str">
        <f t="shared" ref="K483:K486" si="108">IF(J483="","",ABS(I483-J483))</f>
        <v/>
      </c>
      <c r="L483" s="75" t="s">
        <v>98</v>
      </c>
      <c r="M483" s="164"/>
      <c r="N483" s="164"/>
      <c r="O483" s="82" t="s">
        <v>122</v>
      </c>
      <c r="P483" s="43">
        <f>S444</f>
        <v>3.7268518518518519E-3</v>
      </c>
      <c r="Q483" s="71"/>
      <c r="R483" s="52" t="str">
        <f>IF(Q483="","",ABS(P483-Q483))</f>
        <v/>
      </c>
      <c r="S483" s="78" t="s">
        <v>98</v>
      </c>
      <c r="T483" s="164"/>
      <c r="U483" s="168"/>
      <c r="V483" s="41" t="s">
        <v>156</v>
      </c>
      <c r="W483" s="43">
        <f>Z441+28/86400</f>
        <v>3.6824845679012345E-3</v>
      </c>
      <c r="X483" s="71"/>
      <c r="Y483" s="52" t="str">
        <f>IF(X483="","",ABS(W483-X483))</f>
        <v/>
      </c>
      <c r="Z483" s="78" t="s">
        <v>98</v>
      </c>
      <c r="AA483" s="164"/>
      <c r="AB483" s="169"/>
      <c r="AC483" s="37"/>
      <c r="AD483" s="41"/>
      <c r="AE483" s="41"/>
      <c r="AF483" s="41"/>
    </row>
    <row r="484" spans="1:32" ht="16" customHeight="1" x14ac:dyDescent="0.2">
      <c r="A484" s="37"/>
      <c r="B484" s="174"/>
      <c r="C484" s="175"/>
      <c r="D484" s="165" t="s">
        <v>111</v>
      </c>
      <c r="E484" s="166"/>
      <c r="F484" s="166"/>
      <c r="G484" s="167"/>
      <c r="H484" s="43" t="s">
        <v>104</v>
      </c>
      <c r="I484" s="43">
        <f>F483</f>
        <v>4.5076195987654322E-3</v>
      </c>
      <c r="J484" s="71"/>
      <c r="K484" s="52" t="str">
        <f t="shared" si="108"/>
        <v/>
      </c>
      <c r="L484" s="170" t="s">
        <v>112</v>
      </c>
      <c r="M484" s="171"/>
      <c r="N484" s="90"/>
      <c r="O484" s="82" t="s">
        <v>123</v>
      </c>
      <c r="P484" s="43">
        <f>S442</f>
        <v>3.1481481481481482E-3</v>
      </c>
      <c r="Q484" s="71"/>
      <c r="R484" s="52" t="str">
        <f t="shared" ref="R484:R485" si="109">IF(Q484="","",ABS(P484-Q484))</f>
        <v/>
      </c>
      <c r="S484" s="170" t="s">
        <v>112</v>
      </c>
      <c r="T484" s="171"/>
      <c r="U484" s="83"/>
      <c r="V484" s="166" t="s">
        <v>111</v>
      </c>
      <c r="W484" s="166"/>
      <c r="X484" s="166"/>
      <c r="Y484" s="167"/>
      <c r="Z484" s="170" t="s">
        <v>112</v>
      </c>
      <c r="AA484" s="171"/>
      <c r="AB484" s="80"/>
      <c r="AC484" s="37"/>
      <c r="AD484" s="41"/>
      <c r="AE484" s="41"/>
      <c r="AF484" s="41"/>
    </row>
    <row r="485" spans="1:32" ht="16" customHeight="1" x14ac:dyDescent="0.2">
      <c r="A485" s="37"/>
      <c r="B485" s="174"/>
      <c r="C485" s="175"/>
      <c r="D485" s="165"/>
      <c r="E485" s="166"/>
      <c r="F485" s="166"/>
      <c r="G485" s="167"/>
      <c r="H485" s="43"/>
      <c r="I485" s="43"/>
      <c r="J485" s="71"/>
      <c r="K485" s="52" t="str">
        <f t="shared" si="108"/>
        <v/>
      </c>
      <c r="L485" s="163" t="s">
        <v>88</v>
      </c>
      <c r="M485" s="164"/>
      <c r="N485" s="164"/>
      <c r="O485" s="82" t="s">
        <v>122</v>
      </c>
      <c r="P485" s="43">
        <f>P483</f>
        <v>3.7268518518518519E-3</v>
      </c>
      <c r="Q485" s="71"/>
      <c r="R485" s="52" t="str">
        <f t="shared" si="109"/>
        <v/>
      </c>
      <c r="S485" s="163" t="s">
        <v>88</v>
      </c>
      <c r="T485" s="164"/>
      <c r="U485" s="168"/>
      <c r="V485" s="30"/>
      <c r="W485" s="30"/>
      <c r="X485" s="30"/>
      <c r="Y485" s="30"/>
      <c r="Z485" s="163" t="s">
        <v>88</v>
      </c>
      <c r="AA485" s="164"/>
      <c r="AB485" s="169"/>
      <c r="AC485" s="37"/>
      <c r="AD485" s="41"/>
      <c r="AE485" s="41"/>
      <c r="AF485" s="41"/>
    </row>
    <row r="486" spans="1:32" ht="16" customHeight="1" thickBot="1" x14ac:dyDescent="0.25">
      <c r="A486" s="37"/>
      <c r="B486" s="174"/>
      <c r="C486" s="175"/>
      <c r="D486" s="84"/>
      <c r="E486" s="43"/>
      <c r="F486" s="43"/>
      <c r="G486" s="53"/>
      <c r="H486" s="43"/>
      <c r="I486" s="43"/>
      <c r="J486" s="71"/>
      <c r="K486" s="52" t="str">
        <f t="shared" si="108"/>
        <v/>
      </c>
      <c r="L486" s="163"/>
      <c r="M486" s="164"/>
      <c r="N486" s="164"/>
      <c r="O486" s="165" t="s">
        <v>111</v>
      </c>
      <c r="P486" s="166"/>
      <c r="Q486" s="166"/>
      <c r="R486" s="167"/>
      <c r="S486" s="163"/>
      <c r="T486" s="164"/>
      <c r="U486" s="168"/>
      <c r="V486" s="30"/>
      <c r="W486" s="30"/>
      <c r="X486" s="30"/>
      <c r="Y486" s="30"/>
      <c r="Z486" s="163"/>
      <c r="AA486" s="164"/>
      <c r="AB486" s="169"/>
      <c r="AC486" s="37"/>
      <c r="AD486" s="41"/>
      <c r="AE486" s="41"/>
      <c r="AF486" s="41"/>
    </row>
    <row r="487" spans="1:32" ht="16" customHeight="1" x14ac:dyDescent="0.2">
      <c r="A487" s="37"/>
      <c r="B487" s="172">
        <f>B479+1</f>
        <v>6</v>
      </c>
      <c r="C487" s="173"/>
      <c r="D487" s="178">
        <f>D445+(B487-1)*7</f>
        <v>42689</v>
      </c>
      <c r="E487" s="179"/>
      <c r="F487" s="179"/>
      <c r="G487" s="179"/>
      <c r="H487" s="179"/>
      <c r="I487" s="179"/>
      <c r="J487" s="179"/>
      <c r="K487" s="179"/>
      <c r="L487" s="179"/>
      <c r="M487" s="179"/>
      <c r="N487" s="179"/>
      <c r="O487" s="178">
        <f>O445+(B487-1)*7</f>
        <v>42692</v>
      </c>
      <c r="P487" s="179"/>
      <c r="Q487" s="179"/>
      <c r="R487" s="179"/>
      <c r="S487" s="179"/>
      <c r="T487" s="179"/>
      <c r="U487" s="180"/>
      <c r="V487" s="179">
        <f>V445+(B487-1)*7</f>
        <v>42694</v>
      </c>
      <c r="W487" s="179"/>
      <c r="X487" s="179"/>
      <c r="Y487" s="179"/>
      <c r="Z487" s="179"/>
      <c r="AA487" s="179"/>
      <c r="AB487" s="181"/>
      <c r="AC487" s="37"/>
      <c r="AD487" s="41"/>
      <c r="AE487" s="41"/>
      <c r="AF487" s="41"/>
    </row>
    <row r="488" spans="1:32" ht="16" customHeight="1" x14ac:dyDescent="0.2">
      <c r="A488" s="37"/>
      <c r="B488" s="174"/>
      <c r="C488" s="175"/>
      <c r="D488" s="182" t="s">
        <v>99</v>
      </c>
      <c r="E488" s="183"/>
      <c r="F488" s="183"/>
      <c r="G488" s="184"/>
      <c r="H488" s="185" t="s">
        <v>101</v>
      </c>
      <c r="I488" s="183"/>
      <c r="J488" s="183"/>
      <c r="K488" s="184"/>
      <c r="L488" s="183" t="s">
        <v>100</v>
      </c>
      <c r="M488" s="183"/>
      <c r="N488" s="183"/>
      <c r="O488" s="182" t="s">
        <v>99</v>
      </c>
      <c r="P488" s="183"/>
      <c r="Q488" s="183"/>
      <c r="R488" s="183"/>
      <c r="S488" s="185" t="s">
        <v>100</v>
      </c>
      <c r="T488" s="183"/>
      <c r="U488" s="186"/>
      <c r="V488" s="183" t="s">
        <v>99</v>
      </c>
      <c r="W488" s="183"/>
      <c r="X488" s="183"/>
      <c r="Y488" s="183"/>
      <c r="Z488" s="185" t="s">
        <v>100</v>
      </c>
      <c r="AA488" s="183"/>
      <c r="AB488" s="187"/>
      <c r="AC488" s="37"/>
      <c r="AD488" s="41"/>
      <c r="AE488" s="41"/>
      <c r="AF488" s="41"/>
    </row>
    <row r="489" spans="1:32" ht="16" customHeight="1" x14ac:dyDescent="0.2">
      <c r="A489" s="37"/>
      <c r="B489" s="174"/>
      <c r="C489" s="175"/>
      <c r="D489" s="188" t="s">
        <v>110</v>
      </c>
      <c r="E489" s="189"/>
      <c r="F489" s="189"/>
      <c r="G489" s="190"/>
      <c r="H489" s="43" t="s">
        <v>113</v>
      </c>
      <c r="I489" s="43" t="s">
        <v>114</v>
      </c>
      <c r="J489" s="71" t="s">
        <v>115</v>
      </c>
      <c r="K489" s="53" t="s">
        <v>116</v>
      </c>
      <c r="L489" s="74" t="s">
        <v>96</v>
      </c>
      <c r="M489" s="191"/>
      <c r="N489" s="191"/>
      <c r="O489" s="188" t="s">
        <v>110</v>
      </c>
      <c r="P489" s="189"/>
      <c r="Q489" s="189"/>
      <c r="R489" s="189"/>
      <c r="S489" s="77" t="s">
        <v>96</v>
      </c>
      <c r="T489" s="191"/>
      <c r="U489" s="192"/>
      <c r="V489" s="189" t="s">
        <v>110</v>
      </c>
      <c r="W489" s="189"/>
      <c r="X489" s="189"/>
      <c r="Y489" s="189"/>
      <c r="Z489" s="77" t="s">
        <v>96</v>
      </c>
      <c r="AA489" s="191"/>
      <c r="AB489" s="193"/>
      <c r="AC489" s="37"/>
      <c r="AD489" s="41"/>
      <c r="AE489" s="41"/>
      <c r="AF489" s="41"/>
    </row>
    <row r="490" spans="1:32" ht="16" customHeight="1" x14ac:dyDescent="0.2">
      <c r="A490" s="37"/>
      <c r="B490" s="174"/>
      <c r="C490" s="175"/>
      <c r="D490" s="82" t="s">
        <v>53</v>
      </c>
      <c r="E490" s="41" t="s">
        <v>54</v>
      </c>
      <c r="F490" s="41" t="s">
        <v>90</v>
      </c>
      <c r="G490" s="53" t="s">
        <v>55</v>
      </c>
      <c r="H490" s="43" t="s">
        <v>102</v>
      </c>
      <c r="I490" s="43">
        <f>F491</f>
        <v>3.3135609567901229E-3</v>
      </c>
      <c r="J490" s="71"/>
      <c r="K490" s="52" t="str">
        <f>IF(J490="","",ABS(I490-J490))</f>
        <v/>
      </c>
      <c r="L490" s="75" t="s">
        <v>97</v>
      </c>
      <c r="M490" s="164"/>
      <c r="N490" s="164"/>
      <c r="O490" s="82" t="s">
        <v>54</v>
      </c>
      <c r="P490" s="41" t="s">
        <v>65</v>
      </c>
      <c r="Q490" s="67" t="s">
        <v>117</v>
      </c>
      <c r="R490" s="41" t="s">
        <v>116</v>
      </c>
      <c r="S490" s="78" t="s">
        <v>97</v>
      </c>
      <c r="T490" s="164"/>
      <c r="U490" s="168"/>
      <c r="V490" s="41" t="s">
        <v>54</v>
      </c>
      <c r="W490" s="41" t="s">
        <v>65</v>
      </c>
      <c r="X490" s="67" t="s">
        <v>117</v>
      </c>
      <c r="Y490" s="41" t="s">
        <v>116</v>
      </c>
      <c r="Z490" s="78" t="s">
        <v>97</v>
      </c>
      <c r="AA490" s="164"/>
      <c r="AB490" s="169"/>
      <c r="AC490" s="37"/>
      <c r="AD490" s="41"/>
      <c r="AE490" s="41"/>
      <c r="AF490" s="41"/>
    </row>
    <row r="491" spans="1:32" ht="16" customHeight="1" x14ac:dyDescent="0.2">
      <c r="A491" s="37"/>
      <c r="B491" s="174"/>
      <c r="C491" s="175"/>
      <c r="D491" s="82" t="s">
        <v>59</v>
      </c>
      <c r="E491" s="41">
        <v>1200</v>
      </c>
      <c r="F491" s="43">
        <f>L441</f>
        <v>3.3135609567901229E-3</v>
      </c>
      <c r="G491" s="53" t="s">
        <v>145</v>
      </c>
      <c r="H491" s="43" t="s">
        <v>103</v>
      </c>
      <c r="I491" s="43">
        <f>I490</f>
        <v>3.3135609567901229E-3</v>
      </c>
      <c r="J491" s="71"/>
      <c r="K491" s="52" t="str">
        <f t="shared" ref="K491:K495" si="110">IF(J491="","",ABS(I491-J491))</f>
        <v/>
      </c>
      <c r="L491" s="75" t="s">
        <v>98</v>
      </c>
      <c r="M491" s="164"/>
      <c r="N491" s="164"/>
      <c r="O491" s="82" t="s">
        <v>122</v>
      </c>
      <c r="P491" s="43">
        <f>S444</f>
        <v>3.7268518518518519E-3</v>
      </c>
      <c r="Q491" s="71"/>
      <c r="R491" s="52" t="str">
        <f>IF(Q491="","",ABS(P491-Q491))</f>
        <v/>
      </c>
      <c r="S491" s="78" t="s">
        <v>98</v>
      </c>
      <c r="T491" s="164"/>
      <c r="U491" s="168"/>
      <c r="V491" s="41" t="s">
        <v>150</v>
      </c>
      <c r="W491" s="43">
        <f>Z441+28/86400</f>
        <v>3.6824845679012345E-3</v>
      </c>
      <c r="X491" s="71"/>
      <c r="Y491" s="52" t="str">
        <f>IF(X491="","",ABS(W491-X491))</f>
        <v/>
      </c>
      <c r="Z491" s="78" t="s">
        <v>98</v>
      </c>
      <c r="AA491" s="164"/>
      <c r="AB491" s="169"/>
      <c r="AC491" s="37"/>
      <c r="AD491" s="41"/>
      <c r="AE491" s="41"/>
      <c r="AF491" s="41"/>
    </row>
    <row r="492" spans="1:32" ht="16" customHeight="1" x14ac:dyDescent="0.2">
      <c r="A492" s="37"/>
      <c r="B492" s="174"/>
      <c r="C492" s="175"/>
      <c r="D492" s="82" t="s">
        <v>61</v>
      </c>
      <c r="E492" s="41">
        <v>800</v>
      </c>
      <c r="F492" s="43">
        <f>F443</f>
        <v>2.1566358024691359E-3</v>
      </c>
      <c r="G492" s="53" t="s">
        <v>145</v>
      </c>
      <c r="H492" s="43" t="s">
        <v>104</v>
      </c>
      <c r="I492" s="43">
        <f>F492</f>
        <v>2.1566358024691359E-3</v>
      </c>
      <c r="J492" s="71"/>
      <c r="K492" s="52" t="str">
        <f t="shared" si="110"/>
        <v/>
      </c>
      <c r="L492" s="170" t="s">
        <v>112</v>
      </c>
      <c r="M492" s="171"/>
      <c r="N492" s="90"/>
      <c r="O492" s="82" t="s">
        <v>119</v>
      </c>
      <c r="P492" s="43">
        <f>S442</f>
        <v>3.1481481481481482E-3</v>
      </c>
      <c r="Q492" s="71"/>
      <c r="R492" s="52" t="str">
        <f t="shared" ref="R492:R493" si="111">IF(Q492="","",ABS(P492-Q492))</f>
        <v/>
      </c>
      <c r="S492" s="170" t="s">
        <v>112</v>
      </c>
      <c r="T492" s="171"/>
      <c r="U492" s="83"/>
      <c r="V492" s="166" t="s">
        <v>111</v>
      </c>
      <c r="W492" s="166"/>
      <c r="X492" s="166"/>
      <c r="Y492" s="167"/>
      <c r="Z492" s="170" t="s">
        <v>112</v>
      </c>
      <c r="AA492" s="171"/>
      <c r="AB492" s="80"/>
      <c r="AC492" s="37"/>
      <c r="AD492" s="41"/>
      <c r="AE492" s="41"/>
      <c r="AF492" s="41"/>
    </row>
    <row r="493" spans="1:32" ht="16" customHeight="1" x14ac:dyDescent="0.2">
      <c r="A493" s="37"/>
      <c r="B493" s="174"/>
      <c r="C493" s="175"/>
      <c r="D493" s="165" t="s">
        <v>111</v>
      </c>
      <c r="E493" s="166"/>
      <c r="F493" s="166"/>
      <c r="G493" s="167"/>
      <c r="H493" s="43" t="s">
        <v>105</v>
      </c>
      <c r="I493" s="43">
        <f t="shared" ref="I493" si="112">I492</f>
        <v>2.1566358024691359E-3</v>
      </c>
      <c r="J493" s="71"/>
      <c r="K493" s="52" t="str">
        <f t="shared" si="110"/>
        <v/>
      </c>
      <c r="L493" s="163" t="s">
        <v>88</v>
      </c>
      <c r="M493" s="164"/>
      <c r="N493" s="164"/>
      <c r="O493" s="82" t="s">
        <v>122</v>
      </c>
      <c r="P493" s="43">
        <f>P491</f>
        <v>3.7268518518518519E-3</v>
      </c>
      <c r="Q493" s="71"/>
      <c r="R493" s="52" t="str">
        <f t="shared" si="111"/>
        <v/>
      </c>
      <c r="S493" s="163" t="s">
        <v>88</v>
      </c>
      <c r="T493" s="164"/>
      <c r="U493" s="168"/>
      <c r="V493" s="30"/>
      <c r="W493" s="30"/>
      <c r="X493" s="30"/>
      <c r="Y493" s="30"/>
      <c r="Z493" s="163" t="s">
        <v>88</v>
      </c>
      <c r="AA493" s="164"/>
      <c r="AB493" s="169"/>
      <c r="AC493" s="37"/>
      <c r="AD493" s="41"/>
      <c r="AE493" s="41"/>
      <c r="AF493" s="41"/>
    </row>
    <row r="494" spans="1:32" ht="16" customHeight="1" x14ac:dyDescent="0.2">
      <c r="A494" s="37"/>
      <c r="B494" s="174"/>
      <c r="C494" s="175"/>
      <c r="D494" s="82"/>
      <c r="E494" s="41"/>
      <c r="F494" s="43"/>
      <c r="G494" s="53"/>
      <c r="H494" s="43" t="s">
        <v>106</v>
      </c>
      <c r="I494" s="43">
        <f>I492</f>
        <v>2.1566358024691359E-3</v>
      </c>
      <c r="J494" s="71"/>
      <c r="K494" s="52" t="str">
        <f t="shared" si="110"/>
        <v/>
      </c>
      <c r="L494" s="163"/>
      <c r="M494" s="164"/>
      <c r="N494" s="164"/>
      <c r="O494" s="165" t="s">
        <v>111</v>
      </c>
      <c r="P494" s="166"/>
      <c r="Q494" s="166"/>
      <c r="R494" s="167"/>
      <c r="S494" s="163"/>
      <c r="T494" s="164"/>
      <c r="U494" s="168"/>
      <c r="V494" s="30"/>
      <c r="W494" s="30"/>
      <c r="X494" s="30"/>
      <c r="Y494" s="30"/>
      <c r="Z494" s="163"/>
      <c r="AA494" s="164"/>
      <c r="AB494" s="169"/>
      <c r="AC494" s="37"/>
      <c r="AD494" s="41"/>
      <c r="AE494" s="41"/>
      <c r="AF494" s="41"/>
    </row>
    <row r="495" spans="1:32" ht="16" customHeight="1" thickBot="1" x14ac:dyDescent="0.25">
      <c r="A495" s="37"/>
      <c r="B495" s="174"/>
      <c r="C495" s="175"/>
      <c r="D495" s="82"/>
      <c r="E495" s="41"/>
      <c r="F495" s="43"/>
      <c r="G495" s="53"/>
      <c r="H495" s="43" t="s">
        <v>107</v>
      </c>
      <c r="I495" s="43">
        <f>I493</f>
        <v>2.1566358024691359E-3</v>
      </c>
      <c r="J495" s="71"/>
      <c r="K495" s="52" t="str">
        <f t="shared" si="110"/>
        <v/>
      </c>
      <c r="L495" s="50"/>
      <c r="M495" s="41"/>
      <c r="N495" s="85"/>
      <c r="O495" s="82"/>
      <c r="P495" s="43"/>
      <c r="Q495" s="43"/>
      <c r="R495" s="76"/>
      <c r="S495" s="50"/>
      <c r="T495" s="41"/>
      <c r="U495" s="85"/>
      <c r="V495" s="30"/>
      <c r="W495" s="30"/>
      <c r="X495" s="30"/>
      <c r="Y495" s="30"/>
      <c r="Z495" s="50"/>
      <c r="AA495" s="41"/>
      <c r="AB495" s="35"/>
      <c r="AC495" s="37"/>
      <c r="AD495" s="41"/>
      <c r="AE495" s="41"/>
      <c r="AF495" s="41"/>
    </row>
    <row r="496" spans="1:32" ht="16" customHeight="1" x14ac:dyDescent="0.2">
      <c r="A496" s="37"/>
      <c r="B496" s="172">
        <f>B487+1</f>
        <v>7</v>
      </c>
      <c r="C496" s="173"/>
      <c r="D496" s="178">
        <f>D445+(B496-1)*7</f>
        <v>42696</v>
      </c>
      <c r="E496" s="179"/>
      <c r="F496" s="179"/>
      <c r="G496" s="179"/>
      <c r="H496" s="179"/>
      <c r="I496" s="179"/>
      <c r="J496" s="179"/>
      <c r="K496" s="179"/>
      <c r="L496" s="179"/>
      <c r="M496" s="179"/>
      <c r="N496" s="179"/>
      <c r="O496" s="178">
        <f>O445+(B496-1)*7</f>
        <v>42699</v>
      </c>
      <c r="P496" s="179"/>
      <c r="Q496" s="179"/>
      <c r="R496" s="179"/>
      <c r="S496" s="179"/>
      <c r="T496" s="179"/>
      <c r="U496" s="180"/>
      <c r="V496" s="179">
        <f>V445+(B496-1)*7</f>
        <v>42701</v>
      </c>
      <c r="W496" s="179"/>
      <c r="X496" s="179"/>
      <c r="Y496" s="179"/>
      <c r="Z496" s="179"/>
      <c r="AA496" s="179"/>
      <c r="AB496" s="181"/>
      <c r="AC496" s="37"/>
      <c r="AD496" s="41"/>
      <c r="AE496" s="41"/>
      <c r="AF496" s="41"/>
    </row>
    <row r="497" spans="1:32" ht="16" customHeight="1" x14ac:dyDescent="0.2">
      <c r="A497" s="37"/>
      <c r="B497" s="174"/>
      <c r="C497" s="175"/>
      <c r="D497" s="182" t="s">
        <v>99</v>
      </c>
      <c r="E497" s="183"/>
      <c r="F497" s="183"/>
      <c r="G497" s="184"/>
      <c r="H497" s="185" t="s">
        <v>101</v>
      </c>
      <c r="I497" s="183"/>
      <c r="J497" s="183"/>
      <c r="K497" s="184"/>
      <c r="L497" s="183" t="s">
        <v>100</v>
      </c>
      <c r="M497" s="183"/>
      <c r="N497" s="183"/>
      <c r="O497" s="182" t="s">
        <v>99</v>
      </c>
      <c r="P497" s="183"/>
      <c r="Q497" s="183"/>
      <c r="R497" s="183"/>
      <c r="S497" s="185" t="s">
        <v>100</v>
      </c>
      <c r="T497" s="183"/>
      <c r="U497" s="186"/>
      <c r="V497" s="183" t="s">
        <v>99</v>
      </c>
      <c r="W497" s="183"/>
      <c r="X497" s="183"/>
      <c r="Y497" s="183"/>
      <c r="Z497" s="185" t="s">
        <v>100</v>
      </c>
      <c r="AA497" s="183"/>
      <c r="AB497" s="187"/>
      <c r="AC497" s="37"/>
      <c r="AD497" s="41"/>
      <c r="AE497" s="41"/>
      <c r="AF497" s="41"/>
    </row>
    <row r="498" spans="1:32" ht="16" customHeight="1" x14ac:dyDescent="0.2">
      <c r="A498" s="37"/>
      <c r="B498" s="174"/>
      <c r="C498" s="175"/>
      <c r="D498" s="188" t="s">
        <v>110</v>
      </c>
      <c r="E498" s="189"/>
      <c r="F498" s="189"/>
      <c r="G498" s="190"/>
      <c r="H498" s="43" t="s">
        <v>113</v>
      </c>
      <c r="I498" s="43" t="s">
        <v>114</v>
      </c>
      <c r="J498" s="71" t="s">
        <v>115</v>
      </c>
      <c r="K498" s="53" t="s">
        <v>116</v>
      </c>
      <c r="L498" s="74" t="s">
        <v>96</v>
      </c>
      <c r="M498" s="191"/>
      <c r="N498" s="191"/>
      <c r="O498" s="188" t="s">
        <v>110</v>
      </c>
      <c r="P498" s="189"/>
      <c r="Q498" s="189"/>
      <c r="R498" s="189"/>
      <c r="S498" s="77" t="s">
        <v>96</v>
      </c>
      <c r="T498" s="191"/>
      <c r="U498" s="192"/>
      <c r="V498" s="189" t="s">
        <v>110</v>
      </c>
      <c r="W498" s="189"/>
      <c r="X498" s="189"/>
      <c r="Y498" s="189"/>
      <c r="Z498" s="77" t="s">
        <v>96</v>
      </c>
      <c r="AA498" s="191"/>
      <c r="AB498" s="193"/>
      <c r="AC498" s="37"/>
      <c r="AD498" s="41"/>
      <c r="AE498" s="41"/>
      <c r="AF498" s="41"/>
    </row>
    <row r="499" spans="1:32" ht="16" customHeight="1" x14ac:dyDescent="0.2">
      <c r="A499" s="37"/>
      <c r="B499" s="174"/>
      <c r="C499" s="175"/>
      <c r="D499" s="82" t="s">
        <v>53</v>
      </c>
      <c r="E499" s="41" t="s">
        <v>54</v>
      </c>
      <c r="F499" s="41" t="s">
        <v>90</v>
      </c>
      <c r="G499" s="53" t="s">
        <v>55</v>
      </c>
      <c r="H499" s="43" t="s">
        <v>102</v>
      </c>
      <c r="I499" s="43">
        <f>F500</f>
        <v>2.1566358024691359E-3</v>
      </c>
      <c r="J499" s="71"/>
      <c r="K499" s="52" t="str">
        <f>IF(J499="","",ABS(I499-J499))</f>
        <v/>
      </c>
      <c r="L499" s="75" t="s">
        <v>97</v>
      </c>
      <c r="M499" s="164"/>
      <c r="N499" s="164"/>
      <c r="O499" s="82" t="s">
        <v>54</v>
      </c>
      <c r="P499" s="41" t="s">
        <v>65</v>
      </c>
      <c r="Q499" s="67" t="s">
        <v>117</v>
      </c>
      <c r="R499" s="41" t="s">
        <v>116</v>
      </c>
      <c r="S499" s="78" t="s">
        <v>97</v>
      </c>
      <c r="T499" s="164"/>
      <c r="U499" s="168"/>
      <c r="V499" s="41" t="s">
        <v>54</v>
      </c>
      <c r="W499" s="41" t="s">
        <v>65</v>
      </c>
      <c r="X499" s="67" t="s">
        <v>117</v>
      </c>
      <c r="Y499" s="41" t="s">
        <v>116</v>
      </c>
      <c r="Z499" s="78" t="s">
        <v>97</v>
      </c>
      <c r="AA499" s="164"/>
      <c r="AB499" s="169"/>
      <c r="AC499" s="37"/>
      <c r="AD499" s="41"/>
      <c r="AE499" s="41"/>
      <c r="AF499" s="41"/>
    </row>
    <row r="500" spans="1:32" ht="16" customHeight="1" x14ac:dyDescent="0.2">
      <c r="A500" s="37"/>
      <c r="B500" s="174"/>
      <c r="C500" s="175"/>
      <c r="D500" s="82" t="s">
        <v>63</v>
      </c>
      <c r="E500" s="41">
        <v>800</v>
      </c>
      <c r="F500" s="43">
        <f>F443</f>
        <v>2.1566358024691359E-3</v>
      </c>
      <c r="G500" s="53" t="s">
        <v>127</v>
      </c>
      <c r="H500" s="43" t="s">
        <v>103</v>
      </c>
      <c r="I500" s="43">
        <f>I499</f>
        <v>2.1566358024691359E-3</v>
      </c>
      <c r="J500" s="71"/>
      <c r="K500" s="52" t="str">
        <f t="shared" ref="K500:K504" si="113">IF(J500="","",ABS(I500-J500))</f>
        <v/>
      </c>
      <c r="L500" s="75" t="s">
        <v>98</v>
      </c>
      <c r="M500" s="164"/>
      <c r="N500" s="164"/>
      <c r="O500" s="82" t="s">
        <v>122</v>
      </c>
      <c r="P500" s="43">
        <f>S444</f>
        <v>3.7268518518518519E-3</v>
      </c>
      <c r="Q500" s="71"/>
      <c r="R500" s="76" t="str">
        <f>IF(Q500="","",ABS(P500-Q500))</f>
        <v/>
      </c>
      <c r="S500" s="78" t="s">
        <v>98</v>
      </c>
      <c r="T500" s="164"/>
      <c r="U500" s="168"/>
      <c r="V500" s="41" t="s">
        <v>139</v>
      </c>
      <c r="W500" s="43">
        <f>Z441+9/86400</f>
        <v>3.4625771604938271E-3</v>
      </c>
      <c r="X500" s="71"/>
      <c r="Y500" s="52" t="str">
        <f>IF(X500="","",ABS(W500-X500))</f>
        <v/>
      </c>
      <c r="Z500" s="78" t="s">
        <v>98</v>
      </c>
      <c r="AA500" s="164"/>
      <c r="AB500" s="169"/>
      <c r="AC500" s="37"/>
      <c r="AD500" s="41"/>
      <c r="AE500" s="41"/>
      <c r="AF500" s="41"/>
    </row>
    <row r="501" spans="1:32" ht="16" customHeight="1" x14ac:dyDescent="0.2">
      <c r="A501" s="37"/>
      <c r="B501" s="174"/>
      <c r="C501" s="175"/>
      <c r="D501" s="165" t="s">
        <v>111</v>
      </c>
      <c r="E501" s="166"/>
      <c r="F501" s="166"/>
      <c r="G501" s="167"/>
      <c r="H501" s="43" t="s">
        <v>104</v>
      </c>
      <c r="I501" s="43">
        <f t="shared" ref="I501:I504" si="114">I500</f>
        <v>2.1566358024691359E-3</v>
      </c>
      <c r="J501" s="71"/>
      <c r="K501" s="52" t="str">
        <f t="shared" si="113"/>
        <v/>
      </c>
      <c r="L501" s="170" t="s">
        <v>112</v>
      </c>
      <c r="M501" s="171"/>
      <c r="N501" s="90"/>
      <c r="O501" s="82" t="s">
        <v>121</v>
      </c>
      <c r="P501" s="43">
        <f>S443</f>
        <v>3.2523148148148147E-3</v>
      </c>
      <c r="Q501" s="71"/>
      <c r="R501" s="76" t="str">
        <f t="shared" ref="R501:R502" si="115">IF(Q501="","",ABS(P501-Q501))</f>
        <v/>
      </c>
      <c r="S501" s="170" t="s">
        <v>112</v>
      </c>
      <c r="T501" s="171"/>
      <c r="U501" s="83"/>
      <c r="V501" s="166" t="s">
        <v>111</v>
      </c>
      <c r="W501" s="166"/>
      <c r="X501" s="166"/>
      <c r="Y501" s="167"/>
      <c r="Z501" s="170" t="s">
        <v>112</v>
      </c>
      <c r="AA501" s="171"/>
      <c r="AB501" s="80"/>
      <c r="AC501" s="37"/>
      <c r="AD501" s="41"/>
      <c r="AE501" s="41"/>
      <c r="AF501" s="41"/>
    </row>
    <row r="502" spans="1:32" ht="16" customHeight="1" x14ac:dyDescent="0.2">
      <c r="A502" s="37"/>
      <c r="B502" s="174"/>
      <c r="C502" s="175"/>
      <c r="D502" s="82"/>
      <c r="E502" s="41"/>
      <c r="F502" s="43"/>
      <c r="G502" s="53"/>
      <c r="H502" s="43" t="s">
        <v>105</v>
      </c>
      <c r="I502" s="43">
        <f t="shared" si="114"/>
        <v>2.1566358024691359E-3</v>
      </c>
      <c r="J502" s="71"/>
      <c r="K502" s="52" t="str">
        <f t="shared" si="113"/>
        <v/>
      </c>
      <c r="L502" s="163" t="s">
        <v>88</v>
      </c>
      <c r="M502" s="164"/>
      <c r="N502" s="164"/>
      <c r="O502" s="82" t="s">
        <v>122</v>
      </c>
      <c r="P502" s="43">
        <f>S444</f>
        <v>3.7268518518518519E-3</v>
      </c>
      <c r="Q502" s="71"/>
      <c r="R502" s="76" t="str">
        <f t="shared" si="115"/>
        <v/>
      </c>
      <c r="S502" s="163" t="s">
        <v>88</v>
      </c>
      <c r="T502" s="164"/>
      <c r="U502" s="168"/>
      <c r="V502" s="30"/>
      <c r="W502" s="30"/>
      <c r="X502" s="30"/>
      <c r="Y502" s="30"/>
      <c r="Z502" s="163" t="s">
        <v>88</v>
      </c>
      <c r="AA502" s="164"/>
      <c r="AB502" s="169"/>
      <c r="AC502" s="37"/>
      <c r="AD502" s="41"/>
      <c r="AE502" s="41"/>
      <c r="AF502" s="41"/>
    </row>
    <row r="503" spans="1:32" ht="16" customHeight="1" x14ac:dyDescent="0.2">
      <c r="A503" s="37"/>
      <c r="B503" s="174"/>
      <c r="C503" s="175"/>
      <c r="D503" s="82"/>
      <c r="E503" s="41"/>
      <c r="F503" s="43"/>
      <c r="G503" s="53"/>
      <c r="H503" s="43" t="s">
        <v>106</v>
      </c>
      <c r="I503" s="43">
        <f t="shared" si="114"/>
        <v>2.1566358024691359E-3</v>
      </c>
      <c r="J503" s="71"/>
      <c r="K503" s="52" t="str">
        <f t="shared" si="113"/>
        <v/>
      </c>
      <c r="L503" s="163"/>
      <c r="M503" s="164"/>
      <c r="N503" s="164"/>
      <c r="O503" s="165" t="s">
        <v>111</v>
      </c>
      <c r="P503" s="166"/>
      <c r="Q503" s="166"/>
      <c r="R503" s="166"/>
      <c r="S503" s="163"/>
      <c r="T503" s="164"/>
      <c r="U503" s="168"/>
      <c r="V503" s="30"/>
      <c r="W503" s="30"/>
      <c r="X503" s="30"/>
      <c r="Y503" s="30"/>
      <c r="Z503" s="163"/>
      <c r="AA503" s="164"/>
      <c r="AB503" s="169"/>
      <c r="AC503" s="37"/>
      <c r="AD503" s="41"/>
      <c r="AE503" s="41"/>
      <c r="AF503" s="41"/>
    </row>
    <row r="504" spans="1:32" ht="16" customHeight="1" thickBot="1" x14ac:dyDescent="0.25">
      <c r="A504" s="37"/>
      <c r="B504" s="174"/>
      <c r="C504" s="175"/>
      <c r="D504" s="82"/>
      <c r="E504" s="41"/>
      <c r="F504" s="43"/>
      <c r="G504" s="53"/>
      <c r="H504" s="43" t="s">
        <v>107</v>
      </c>
      <c r="I504" s="43">
        <f t="shared" si="114"/>
        <v>2.1566358024691359E-3</v>
      </c>
      <c r="J504" s="71"/>
      <c r="K504" s="52" t="str">
        <f t="shared" si="113"/>
        <v/>
      </c>
      <c r="L504" s="41"/>
      <c r="M504" s="41"/>
      <c r="N504" s="30"/>
      <c r="O504" s="82"/>
      <c r="P504" s="43"/>
      <c r="Q504" s="43"/>
      <c r="R504" s="52"/>
      <c r="S504" s="50"/>
      <c r="T504" s="41"/>
      <c r="U504" s="85"/>
      <c r="V504" s="30"/>
      <c r="W504" s="30"/>
      <c r="X504" s="30"/>
      <c r="Y504" s="30"/>
      <c r="Z504" s="50"/>
      <c r="AA504" s="41"/>
      <c r="AB504" s="35"/>
      <c r="AC504" s="37"/>
      <c r="AD504" s="41"/>
      <c r="AE504" s="41"/>
      <c r="AF504" s="41"/>
    </row>
    <row r="505" spans="1:32" ht="16" customHeight="1" x14ac:dyDescent="0.2">
      <c r="A505" s="37"/>
      <c r="B505" s="172">
        <f>B496+1</f>
        <v>8</v>
      </c>
      <c r="C505" s="173"/>
      <c r="D505" s="178">
        <f>D445+(B505-1)*7</f>
        <v>42703</v>
      </c>
      <c r="E505" s="179"/>
      <c r="F505" s="179"/>
      <c r="G505" s="179"/>
      <c r="H505" s="179"/>
      <c r="I505" s="179"/>
      <c r="J505" s="179"/>
      <c r="K505" s="179"/>
      <c r="L505" s="179"/>
      <c r="M505" s="179"/>
      <c r="N505" s="179"/>
      <c r="O505" s="178">
        <f>O445+(B505-1)*7</f>
        <v>42706</v>
      </c>
      <c r="P505" s="179"/>
      <c r="Q505" s="179"/>
      <c r="R505" s="179"/>
      <c r="S505" s="179"/>
      <c r="T505" s="179"/>
      <c r="U505" s="180"/>
      <c r="V505" s="179">
        <f>V445+(B505-1)*7</f>
        <v>42708</v>
      </c>
      <c r="W505" s="179"/>
      <c r="X505" s="179"/>
      <c r="Y505" s="179"/>
      <c r="Z505" s="179"/>
      <c r="AA505" s="179"/>
      <c r="AB505" s="181"/>
      <c r="AC505" s="37"/>
      <c r="AD505" s="41"/>
      <c r="AE505" s="41"/>
      <c r="AF505" s="41"/>
    </row>
    <row r="506" spans="1:32" ht="16" customHeight="1" x14ac:dyDescent="0.2">
      <c r="A506" s="37"/>
      <c r="B506" s="174"/>
      <c r="C506" s="175"/>
      <c r="D506" s="182" t="s">
        <v>99</v>
      </c>
      <c r="E506" s="183"/>
      <c r="F506" s="183"/>
      <c r="G506" s="184"/>
      <c r="H506" s="185" t="s">
        <v>101</v>
      </c>
      <c r="I506" s="183"/>
      <c r="J506" s="183"/>
      <c r="K506" s="184"/>
      <c r="L506" s="183" t="s">
        <v>100</v>
      </c>
      <c r="M506" s="183"/>
      <c r="N506" s="183"/>
      <c r="O506" s="182" t="s">
        <v>99</v>
      </c>
      <c r="P506" s="183"/>
      <c r="Q506" s="183"/>
      <c r="R506" s="183"/>
      <c r="S506" s="185" t="s">
        <v>100</v>
      </c>
      <c r="T506" s="183"/>
      <c r="U506" s="186"/>
      <c r="V506" s="183" t="s">
        <v>99</v>
      </c>
      <c r="W506" s="183"/>
      <c r="X506" s="183"/>
      <c r="Y506" s="183"/>
      <c r="Z506" s="185" t="s">
        <v>100</v>
      </c>
      <c r="AA506" s="183"/>
      <c r="AB506" s="187"/>
      <c r="AC506" s="104"/>
      <c r="AD506" s="30"/>
      <c r="AE506" s="41"/>
      <c r="AF506" s="41"/>
    </row>
    <row r="507" spans="1:32" ht="16" customHeight="1" x14ac:dyDescent="0.2">
      <c r="A507" s="37"/>
      <c r="B507" s="174"/>
      <c r="C507" s="175"/>
      <c r="D507" s="188" t="s">
        <v>110</v>
      </c>
      <c r="E507" s="189"/>
      <c r="F507" s="189"/>
      <c r="G507" s="190"/>
      <c r="H507" s="43" t="s">
        <v>113</v>
      </c>
      <c r="I507" s="43" t="s">
        <v>114</v>
      </c>
      <c r="J507" s="71" t="s">
        <v>115</v>
      </c>
      <c r="K507" s="53" t="s">
        <v>116</v>
      </c>
      <c r="L507" s="74" t="s">
        <v>96</v>
      </c>
      <c r="M507" s="191"/>
      <c r="N507" s="191"/>
      <c r="O507" s="188" t="s">
        <v>110</v>
      </c>
      <c r="P507" s="189"/>
      <c r="Q507" s="189"/>
      <c r="R507" s="189"/>
      <c r="S507" s="77" t="s">
        <v>96</v>
      </c>
      <c r="T507" s="191"/>
      <c r="U507" s="192"/>
      <c r="V507" s="189" t="s">
        <v>110</v>
      </c>
      <c r="W507" s="189"/>
      <c r="X507" s="189"/>
      <c r="Y507" s="189"/>
      <c r="Z507" s="77" t="s">
        <v>96</v>
      </c>
      <c r="AA507" s="191"/>
      <c r="AB507" s="193"/>
      <c r="AC507" s="37"/>
      <c r="AD507" s="41"/>
      <c r="AE507" s="41"/>
      <c r="AF507" s="41"/>
    </row>
    <row r="508" spans="1:32" ht="16" customHeight="1" x14ac:dyDescent="0.2">
      <c r="A508" s="37"/>
      <c r="B508" s="174"/>
      <c r="C508" s="175"/>
      <c r="D508" s="82" t="s">
        <v>53</v>
      </c>
      <c r="E508" s="41" t="s">
        <v>54</v>
      </c>
      <c r="F508" s="41" t="s">
        <v>90</v>
      </c>
      <c r="G508" s="53" t="s">
        <v>55</v>
      </c>
      <c r="H508" s="43" t="s">
        <v>102</v>
      </c>
      <c r="I508" s="43">
        <f>F510</f>
        <v>1.0551697530864197E-3</v>
      </c>
      <c r="J508" s="71"/>
      <c r="K508" s="52" t="str">
        <f>IF(J508="","",ABS(I508-J508))</f>
        <v/>
      </c>
      <c r="L508" s="75" t="s">
        <v>97</v>
      </c>
      <c r="M508" s="164"/>
      <c r="N508" s="164"/>
      <c r="O508" s="82" t="s">
        <v>54</v>
      </c>
      <c r="P508" s="41" t="s">
        <v>65</v>
      </c>
      <c r="Q508" s="67" t="s">
        <v>117</v>
      </c>
      <c r="R508" s="41" t="s">
        <v>116</v>
      </c>
      <c r="S508" s="78" t="s">
        <v>97</v>
      </c>
      <c r="T508" s="164"/>
      <c r="U508" s="168"/>
      <c r="V508" s="41" t="s">
        <v>54</v>
      </c>
      <c r="W508" s="41" t="s">
        <v>65</v>
      </c>
      <c r="X508" s="67" t="s">
        <v>117</v>
      </c>
      <c r="Y508" s="41" t="s">
        <v>116</v>
      </c>
      <c r="Z508" s="78" t="s">
        <v>97</v>
      </c>
      <c r="AA508" s="164"/>
      <c r="AB508" s="169"/>
      <c r="AC508" s="37"/>
      <c r="AD508" s="41"/>
      <c r="AE508" s="41"/>
      <c r="AF508" s="41"/>
    </row>
    <row r="509" spans="1:32" ht="16" customHeight="1" x14ac:dyDescent="0.2">
      <c r="A509" s="37"/>
      <c r="B509" s="174"/>
      <c r="C509" s="175"/>
      <c r="D509" s="82" t="s">
        <v>59</v>
      </c>
      <c r="E509" s="166" t="s">
        <v>147</v>
      </c>
      <c r="F509" s="166"/>
      <c r="G509" s="53" t="s">
        <v>148</v>
      </c>
      <c r="H509" s="43" t="s">
        <v>103</v>
      </c>
      <c r="I509" s="43">
        <f>I508</f>
        <v>1.0551697530864197E-3</v>
      </c>
      <c r="J509" s="71"/>
      <c r="K509" s="52" t="str">
        <f t="shared" ref="K509:K519" si="116">IF(J509="","",ABS(I509-J509))</f>
        <v/>
      </c>
      <c r="L509" s="75" t="s">
        <v>98</v>
      </c>
      <c r="M509" s="164"/>
      <c r="N509" s="164"/>
      <c r="O509" s="82" t="s">
        <v>118</v>
      </c>
      <c r="P509" s="43">
        <f>S444</f>
        <v>3.7268518518518519E-3</v>
      </c>
      <c r="Q509" s="71"/>
      <c r="R509" s="76" t="str">
        <f>IF(Q509="","",ABS(P509-Q509))</f>
        <v/>
      </c>
      <c r="S509" s="78" t="s">
        <v>98</v>
      </c>
      <c r="T509" s="164"/>
      <c r="U509" s="168"/>
      <c r="V509" s="41" t="s">
        <v>157</v>
      </c>
      <c r="W509" s="43">
        <f>Z441+19/86400</f>
        <v>3.578317901234568E-3</v>
      </c>
      <c r="X509" s="71"/>
      <c r="Y509" s="52" t="str">
        <f>IF(X509="","",ABS(W509-X509))</f>
        <v/>
      </c>
      <c r="Z509" s="78" t="s">
        <v>98</v>
      </c>
      <c r="AA509" s="164"/>
      <c r="AB509" s="169"/>
      <c r="AC509" s="37"/>
      <c r="AD509" s="41"/>
      <c r="AE509" s="41"/>
      <c r="AF509" s="41"/>
    </row>
    <row r="510" spans="1:32" ht="16" customHeight="1" x14ac:dyDescent="0.2">
      <c r="A510" s="37"/>
      <c r="B510" s="174"/>
      <c r="C510" s="175"/>
      <c r="D510" s="82" t="s">
        <v>63</v>
      </c>
      <c r="E510" s="41">
        <v>400</v>
      </c>
      <c r="F510" s="43">
        <f>F441</f>
        <v>1.0551697530864197E-3</v>
      </c>
      <c r="G510" s="53" t="s">
        <v>127</v>
      </c>
      <c r="H510" s="43" t="s">
        <v>104</v>
      </c>
      <c r="I510" s="43">
        <f t="shared" ref="I510:I519" si="117">I509</f>
        <v>1.0551697530864197E-3</v>
      </c>
      <c r="J510" s="71"/>
      <c r="K510" s="52" t="str">
        <f t="shared" si="116"/>
        <v/>
      </c>
      <c r="L510" s="170" t="s">
        <v>112</v>
      </c>
      <c r="M510" s="171"/>
      <c r="N510" s="90"/>
      <c r="O510" s="82" t="s">
        <v>120</v>
      </c>
      <c r="P510" s="43">
        <f>S441</f>
        <v>3.0324074074074073E-3</v>
      </c>
      <c r="Q510" s="71"/>
      <c r="R510" s="76" t="str">
        <f t="shared" ref="R510:R511" si="118">IF(Q510="","",ABS(P510-Q510))</f>
        <v/>
      </c>
      <c r="S510" s="170" t="s">
        <v>112</v>
      </c>
      <c r="T510" s="171"/>
      <c r="U510" s="83"/>
      <c r="V510" s="166" t="s">
        <v>111</v>
      </c>
      <c r="W510" s="166"/>
      <c r="X510" s="166"/>
      <c r="Y510" s="167"/>
      <c r="Z510" s="170" t="s">
        <v>112</v>
      </c>
      <c r="AA510" s="171"/>
      <c r="AB510" s="80"/>
      <c r="AC510" s="37"/>
      <c r="AD510" s="41"/>
      <c r="AE510" s="41"/>
      <c r="AF510" s="41"/>
    </row>
    <row r="511" spans="1:32" ht="16" customHeight="1" x14ac:dyDescent="0.2">
      <c r="A511" s="37"/>
      <c r="B511" s="174"/>
      <c r="C511" s="175"/>
      <c r="D511" s="165" t="s">
        <v>111</v>
      </c>
      <c r="E511" s="166"/>
      <c r="F511" s="166"/>
      <c r="G511" s="167"/>
      <c r="H511" s="43" t="s">
        <v>105</v>
      </c>
      <c r="I511" s="43">
        <f t="shared" si="117"/>
        <v>1.0551697530864197E-3</v>
      </c>
      <c r="J511" s="71"/>
      <c r="K511" s="52" t="str">
        <f t="shared" si="116"/>
        <v/>
      </c>
      <c r="L511" s="163" t="s">
        <v>88</v>
      </c>
      <c r="M511" s="164"/>
      <c r="N511" s="164"/>
      <c r="O511" s="82" t="s">
        <v>122</v>
      </c>
      <c r="P511" s="43">
        <f>S444</f>
        <v>3.7268518518518519E-3</v>
      </c>
      <c r="Q511" s="71"/>
      <c r="R511" s="76" t="str">
        <f t="shared" si="118"/>
        <v/>
      </c>
      <c r="S511" s="163" t="s">
        <v>88</v>
      </c>
      <c r="T511" s="164"/>
      <c r="U511" s="168"/>
      <c r="V511" s="30"/>
      <c r="W511" s="30"/>
      <c r="X511" s="30"/>
      <c r="Y511" s="30"/>
      <c r="Z511" s="163" t="s">
        <v>88</v>
      </c>
      <c r="AA511" s="164"/>
      <c r="AB511" s="169"/>
      <c r="AC511" s="37"/>
      <c r="AD511" s="41"/>
      <c r="AE511" s="41"/>
      <c r="AF511" s="41"/>
    </row>
    <row r="512" spans="1:32" ht="16" customHeight="1" x14ac:dyDescent="0.2">
      <c r="A512" s="37"/>
      <c r="B512" s="174"/>
      <c r="C512" s="175"/>
      <c r="D512" s="84"/>
      <c r="E512" s="43"/>
      <c r="F512" s="43"/>
      <c r="G512" s="53"/>
      <c r="H512" s="43" t="s">
        <v>106</v>
      </c>
      <c r="I512" s="43">
        <f t="shared" si="117"/>
        <v>1.0551697530864197E-3</v>
      </c>
      <c r="J512" s="71"/>
      <c r="K512" s="52" t="str">
        <f t="shared" si="116"/>
        <v/>
      </c>
      <c r="L512" s="163"/>
      <c r="M512" s="164"/>
      <c r="N512" s="164"/>
      <c r="O512" s="165" t="s">
        <v>111</v>
      </c>
      <c r="P512" s="166"/>
      <c r="Q512" s="166"/>
      <c r="R512" s="167"/>
      <c r="S512" s="163"/>
      <c r="T512" s="164"/>
      <c r="U512" s="168"/>
      <c r="V512" s="30"/>
      <c r="W512" s="30"/>
      <c r="X512" s="30"/>
      <c r="Y512" s="30"/>
      <c r="Z512" s="163"/>
      <c r="AA512" s="164"/>
      <c r="AB512" s="169"/>
      <c r="AC512" s="37"/>
      <c r="AD512" s="41"/>
      <c r="AE512" s="41"/>
      <c r="AF512" s="41"/>
    </row>
    <row r="513" spans="1:32" ht="16" customHeight="1" x14ac:dyDescent="0.2">
      <c r="A513" s="37"/>
      <c r="B513" s="174"/>
      <c r="C513" s="175"/>
      <c r="D513" s="84"/>
      <c r="E513" s="43"/>
      <c r="F513" s="43"/>
      <c r="G513" s="53"/>
      <c r="H513" s="43" t="s">
        <v>107</v>
      </c>
      <c r="I513" s="43">
        <f t="shared" si="117"/>
        <v>1.0551697530864197E-3</v>
      </c>
      <c r="J513" s="71"/>
      <c r="K513" s="52" t="str">
        <f t="shared" si="116"/>
        <v/>
      </c>
      <c r="L513" s="41"/>
      <c r="M513" s="41"/>
      <c r="N513" s="30"/>
      <c r="O513" s="82"/>
      <c r="P513" s="43"/>
      <c r="Q513" s="43"/>
      <c r="R513" s="76"/>
      <c r="S513" s="50"/>
      <c r="T513" s="41"/>
      <c r="U513" s="85"/>
      <c r="V513" s="30"/>
      <c r="W513" s="30"/>
      <c r="X513" s="30"/>
      <c r="Y513" s="30"/>
      <c r="Z513" s="50"/>
      <c r="AA513" s="41"/>
      <c r="AB513" s="35"/>
      <c r="AC513" s="37"/>
      <c r="AD513" s="41"/>
      <c r="AE513" s="41"/>
      <c r="AF513" s="41"/>
    </row>
    <row r="514" spans="1:32" ht="16" customHeight="1" x14ac:dyDescent="0.2">
      <c r="A514" s="37"/>
      <c r="B514" s="174"/>
      <c r="C514" s="175"/>
      <c r="D514" s="84"/>
      <c r="E514" s="43"/>
      <c r="F514" s="43"/>
      <c r="G514" s="53"/>
      <c r="H514" s="43" t="s">
        <v>108</v>
      </c>
      <c r="I514" s="43">
        <f t="shared" si="117"/>
        <v>1.0551697530864197E-3</v>
      </c>
      <c r="J514" s="71"/>
      <c r="K514" s="52" t="str">
        <f t="shared" si="116"/>
        <v/>
      </c>
      <c r="L514" s="41"/>
      <c r="M514" s="41"/>
      <c r="N514" s="41"/>
      <c r="O514" s="165"/>
      <c r="P514" s="166"/>
      <c r="Q514" s="166"/>
      <c r="R514" s="167"/>
      <c r="S514" s="50"/>
      <c r="T514" s="41"/>
      <c r="U514" s="85"/>
      <c r="V514" s="30"/>
      <c r="W514" s="30"/>
      <c r="X514" s="30"/>
      <c r="Y514" s="30"/>
      <c r="Z514" s="50"/>
      <c r="AA514" s="41"/>
      <c r="AB514" s="44"/>
      <c r="AC514" s="37"/>
      <c r="AD514" s="41"/>
      <c r="AE514" s="41"/>
      <c r="AF514" s="41"/>
    </row>
    <row r="515" spans="1:32" ht="16" customHeight="1" x14ac:dyDescent="0.2">
      <c r="A515" s="37"/>
      <c r="B515" s="174"/>
      <c r="C515" s="175"/>
      <c r="D515" s="84"/>
      <c r="E515" s="43"/>
      <c r="F515" s="43"/>
      <c r="G515" s="53"/>
      <c r="H515" s="43" t="s">
        <v>109</v>
      </c>
      <c r="I515" s="43">
        <f t="shared" si="117"/>
        <v>1.0551697530864197E-3</v>
      </c>
      <c r="J515" s="71"/>
      <c r="K515" s="52" t="str">
        <f t="shared" si="116"/>
        <v/>
      </c>
      <c r="L515" s="41"/>
      <c r="M515" s="41"/>
      <c r="N515" s="30"/>
      <c r="O515" s="82"/>
      <c r="P515" s="41"/>
      <c r="Q515" s="41"/>
      <c r="R515" s="41"/>
      <c r="S515" s="50"/>
      <c r="T515" s="41"/>
      <c r="U515" s="85"/>
      <c r="V515" s="30"/>
      <c r="W515" s="30"/>
      <c r="X515" s="30"/>
      <c r="Y515" s="30"/>
      <c r="Z515" s="50"/>
      <c r="AA515" s="41"/>
      <c r="AB515" s="35"/>
      <c r="AC515" s="37"/>
      <c r="AD515" s="41"/>
      <c r="AE515" s="41"/>
      <c r="AF515" s="41"/>
    </row>
    <row r="516" spans="1:32" ht="16" customHeight="1" x14ac:dyDescent="0.2">
      <c r="A516" s="37"/>
      <c r="B516" s="174"/>
      <c r="C516" s="175"/>
      <c r="D516" s="84"/>
      <c r="E516" s="43"/>
      <c r="F516" s="43"/>
      <c r="G516" s="53"/>
      <c r="H516" s="43" t="s">
        <v>125</v>
      </c>
      <c r="I516" s="43">
        <f t="shared" si="117"/>
        <v>1.0551697530864197E-3</v>
      </c>
      <c r="J516" s="71"/>
      <c r="K516" s="52" t="str">
        <f t="shared" si="116"/>
        <v/>
      </c>
      <c r="L516" s="41"/>
      <c r="M516" s="41"/>
      <c r="N516" s="41"/>
      <c r="O516" s="82"/>
      <c r="P516" s="41"/>
      <c r="Q516" s="41"/>
      <c r="R516" s="41"/>
      <c r="S516" s="50"/>
      <c r="T516" s="41"/>
      <c r="U516" s="86"/>
      <c r="V516" s="30"/>
      <c r="W516" s="30"/>
      <c r="X516" s="30"/>
      <c r="Y516" s="30"/>
      <c r="Z516" s="50"/>
      <c r="AA516" s="41"/>
      <c r="AB516" s="44"/>
      <c r="AC516" s="37"/>
      <c r="AD516" s="41"/>
      <c r="AE516" s="41"/>
      <c r="AF516" s="41"/>
    </row>
    <row r="517" spans="1:32" ht="16" customHeight="1" x14ac:dyDescent="0.2">
      <c r="A517" s="37"/>
      <c r="B517" s="174"/>
      <c r="C517" s="175"/>
      <c r="D517" s="84"/>
      <c r="E517" s="43"/>
      <c r="F517" s="43"/>
      <c r="G517" s="53"/>
      <c r="H517" s="43" t="s">
        <v>126</v>
      </c>
      <c r="I517" s="43">
        <f t="shared" si="117"/>
        <v>1.0551697530864197E-3</v>
      </c>
      <c r="J517" s="71"/>
      <c r="K517" s="52" t="str">
        <f t="shared" si="116"/>
        <v/>
      </c>
      <c r="L517" s="41"/>
      <c r="M517" s="41"/>
      <c r="N517" s="30"/>
      <c r="O517" s="82"/>
      <c r="P517" s="41"/>
      <c r="Q517" s="41"/>
      <c r="R517" s="41"/>
      <c r="S517" s="50"/>
      <c r="T517" s="41"/>
      <c r="U517" s="85"/>
      <c r="V517" s="30"/>
      <c r="W517" s="30"/>
      <c r="X517" s="30"/>
      <c r="Y517" s="30"/>
      <c r="Z517" s="50"/>
      <c r="AA517" s="41"/>
      <c r="AB517" s="35"/>
      <c r="AC517" s="37"/>
      <c r="AD517" s="41"/>
      <c r="AE517" s="41"/>
      <c r="AF517" s="41"/>
    </row>
    <row r="518" spans="1:32" ht="16" customHeight="1" x14ac:dyDescent="0.2">
      <c r="A518" s="37"/>
      <c r="B518" s="174"/>
      <c r="C518" s="175"/>
      <c r="D518" s="84"/>
      <c r="E518" s="43"/>
      <c r="F518" s="43"/>
      <c r="G518" s="53"/>
      <c r="H518" s="43" t="s">
        <v>141</v>
      </c>
      <c r="I518" s="43">
        <f t="shared" si="117"/>
        <v>1.0551697530864197E-3</v>
      </c>
      <c r="J518" s="71"/>
      <c r="K518" s="52" t="str">
        <f t="shared" si="116"/>
        <v/>
      </c>
      <c r="L518" s="41"/>
      <c r="M518" s="41"/>
      <c r="N518" s="41"/>
      <c r="O518" s="82"/>
      <c r="P518" s="41"/>
      <c r="Q518" s="41"/>
      <c r="R518" s="41"/>
      <c r="S518" s="50"/>
      <c r="T518" s="41"/>
      <c r="U518" s="86"/>
      <c r="V518" s="30"/>
      <c r="W518" s="30"/>
      <c r="X518" s="30"/>
      <c r="Y518" s="30"/>
      <c r="Z518" s="50"/>
      <c r="AA518" s="41"/>
      <c r="AB518" s="44"/>
      <c r="AC518" s="37"/>
      <c r="AD518" s="41"/>
      <c r="AE518" s="41"/>
      <c r="AF518" s="41"/>
    </row>
    <row r="519" spans="1:32" ht="16" customHeight="1" thickBot="1" x14ac:dyDescent="0.25">
      <c r="A519" s="37"/>
      <c r="B519" s="198"/>
      <c r="C519" s="199"/>
      <c r="D519" s="87"/>
      <c r="E519" s="40"/>
      <c r="F519" s="40"/>
      <c r="G519" s="51"/>
      <c r="H519" s="43" t="s">
        <v>142</v>
      </c>
      <c r="I519" s="43">
        <f t="shared" si="117"/>
        <v>1.0551697530864197E-3</v>
      </c>
      <c r="J519" s="72"/>
      <c r="K519" s="52" t="str">
        <f t="shared" si="116"/>
        <v/>
      </c>
      <c r="L519" s="194"/>
      <c r="M519" s="195"/>
      <c r="N519" s="195"/>
      <c r="O519" s="97"/>
      <c r="P519" s="42"/>
      <c r="Q519" s="42"/>
      <c r="R519" s="42"/>
      <c r="S519" s="194"/>
      <c r="T519" s="195"/>
      <c r="U519" s="196"/>
      <c r="V519" s="34"/>
      <c r="W519" s="34"/>
      <c r="X519" s="34"/>
      <c r="Y519" s="34"/>
      <c r="Z519" s="194"/>
      <c r="AA519" s="195"/>
      <c r="AB519" s="197"/>
      <c r="AC519" s="37"/>
      <c r="AD519" s="41"/>
      <c r="AE519" s="41"/>
      <c r="AF519" s="41"/>
    </row>
    <row r="520" spans="1:32" ht="16" customHeight="1" x14ac:dyDescent="0.2">
      <c r="A520" s="37"/>
      <c r="B520" s="172">
        <f>B505+1</f>
        <v>9</v>
      </c>
      <c r="C520" s="173"/>
      <c r="D520" s="178">
        <f>D445+(B520-1)*7</f>
        <v>42710</v>
      </c>
      <c r="E520" s="179"/>
      <c r="F520" s="179"/>
      <c r="G520" s="179"/>
      <c r="H520" s="179"/>
      <c r="I520" s="179"/>
      <c r="J520" s="179"/>
      <c r="K520" s="179"/>
      <c r="L520" s="179"/>
      <c r="M520" s="179"/>
      <c r="N520" s="179"/>
      <c r="O520" s="178">
        <f>O445+(B520-1)*7</f>
        <v>42713</v>
      </c>
      <c r="P520" s="179"/>
      <c r="Q520" s="179"/>
      <c r="R520" s="179"/>
      <c r="S520" s="179"/>
      <c r="T520" s="179"/>
      <c r="U520" s="180"/>
      <c r="V520" s="179">
        <f>V445+(B520-1)*7</f>
        <v>42715</v>
      </c>
      <c r="W520" s="179"/>
      <c r="X520" s="179"/>
      <c r="Y520" s="179"/>
      <c r="Z520" s="179"/>
      <c r="AA520" s="179"/>
      <c r="AB520" s="181"/>
      <c r="AC520" s="37"/>
      <c r="AD520" s="41"/>
      <c r="AE520" s="41"/>
      <c r="AF520" s="41"/>
    </row>
    <row r="521" spans="1:32" ht="16" customHeight="1" x14ac:dyDescent="0.2">
      <c r="A521" s="37"/>
      <c r="B521" s="174"/>
      <c r="C521" s="175"/>
      <c r="D521" s="182" t="s">
        <v>99</v>
      </c>
      <c r="E521" s="183"/>
      <c r="F521" s="183"/>
      <c r="G521" s="184"/>
      <c r="H521" s="185" t="s">
        <v>101</v>
      </c>
      <c r="I521" s="183"/>
      <c r="J521" s="183"/>
      <c r="K521" s="184"/>
      <c r="L521" s="183" t="s">
        <v>100</v>
      </c>
      <c r="M521" s="183"/>
      <c r="N521" s="183"/>
      <c r="O521" s="182" t="s">
        <v>99</v>
      </c>
      <c r="P521" s="183"/>
      <c r="Q521" s="183"/>
      <c r="R521" s="183"/>
      <c r="S521" s="185" t="s">
        <v>100</v>
      </c>
      <c r="T521" s="183"/>
      <c r="U521" s="186"/>
      <c r="V521" s="183" t="s">
        <v>99</v>
      </c>
      <c r="W521" s="183"/>
      <c r="X521" s="183"/>
      <c r="Y521" s="183"/>
      <c r="Z521" s="185" t="s">
        <v>100</v>
      </c>
      <c r="AA521" s="183"/>
      <c r="AB521" s="187"/>
      <c r="AC521" s="37"/>
      <c r="AD521" s="41"/>
      <c r="AE521" s="41"/>
      <c r="AF521" s="41"/>
    </row>
    <row r="522" spans="1:32" ht="16" customHeight="1" x14ac:dyDescent="0.2">
      <c r="A522" s="37"/>
      <c r="B522" s="174"/>
      <c r="C522" s="175"/>
      <c r="D522" s="188" t="s">
        <v>110</v>
      </c>
      <c r="E522" s="189"/>
      <c r="F522" s="189"/>
      <c r="G522" s="190"/>
      <c r="H522" s="43" t="s">
        <v>113</v>
      </c>
      <c r="I522" s="43" t="s">
        <v>114</v>
      </c>
      <c r="J522" s="71" t="s">
        <v>115</v>
      </c>
      <c r="K522" s="53" t="s">
        <v>116</v>
      </c>
      <c r="L522" s="74" t="s">
        <v>96</v>
      </c>
      <c r="M522" s="191"/>
      <c r="N522" s="191"/>
      <c r="O522" s="188" t="s">
        <v>110</v>
      </c>
      <c r="P522" s="189"/>
      <c r="Q522" s="189"/>
      <c r="R522" s="189"/>
      <c r="S522" s="77" t="s">
        <v>96</v>
      </c>
      <c r="T522" s="191"/>
      <c r="U522" s="192"/>
      <c r="V522" s="189" t="s">
        <v>110</v>
      </c>
      <c r="W522" s="189"/>
      <c r="X522" s="189"/>
      <c r="Y522" s="189"/>
      <c r="Z522" s="77" t="s">
        <v>96</v>
      </c>
      <c r="AA522" s="191"/>
      <c r="AB522" s="193"/>
      <c r="AC522" s="37"/>
      <c r="AD522" s="41"/>
      <c r="AE522" s="41"/>
      <c r="AF522" s="41"/>
    </row>
    <row r="523" spans="1:32" ht="16" customHeight="1" x14ac:dyDescent="0.2">
      <c r="A523" s="37"/>
      <c r="B523" s="174"/>
      <c r="C523" s="175"/>
      <c r="D523" s="82" t="s">
        <v>53</v>
      </c>
      <c r="E523" s="41" t="s">
        <v>54</v>
      </c>
      <c r="F523" s="41" t="s">
        <v>90</v>
      </c>
      <c r="G523" s="53" t="s">
        <v>55</v>
      </c>
      <c r="H523" s="43" t="s">
        <v>102</v>
      </c>
      <c r="I523" s="43">
        <f>F524</f>
        <v>4.5076195987654322E-3</v>
      </c>
      <c r="J523" s="71"/>
      <c r="K523" s="52" t="str">
        <f>IF(J523="","",ABS(I523-J523))</f>
        <v/>
      </c>
      <c r="L523" s="75" t="s">
        <v>97</v>
      </c>
      <c r="M523" s="164"/>
      <c r="N523" s="164"/>
      <c r="O523" s="82" t="s">
        <v>54</v>
      </c>
      <c r="P523" s="41" t="s">
        <v>65</v>
      </c>
      <c r="Q523" s="67" t="s">
        <v>117</v>
      </c>
      <c r="R523" s="41" t="s">
        <v>116</v>
      </c>
      <c r="S523" s="78" t="s">
        <v>97</v>
      </c>
      <c r="T523" s="164"/>
      <c r="U523" s="168"/>
      <c r="V523" s="41" t="s">
        <v>54</v>
      </c>
      <c r="W523" s="41" t="s">
        <v>65</v>
      </c>
      <c r="X523" s="67" t="s">
        <v>117</v>
      </c>
      <c r="Y523" s="41" t="s">
        <v>116</v>
      </c>
      <c r="Z523" s="78" t="s">
        <v>97</v>
      </c>
      <c r="AA523" s="164"/>
      <c r="AB523" s="169"/>
      <c r="AC523" s="37"/>
      <c r="AD523" s="41"/>
      <c r="AE523" s="41"/>
      <c r="AF523" s="41"/>
    </row>
    <row r="524" spans="1:32" ht="16" customHeight="1" x14ac:dyDescent="0.2">
      <c r="A524" s="37"/>
      <c r="B524" s="174"/>
      <c r="C524" s="175"/>
      <c r="D524" s="82" t="s">
        <v>59</v>
      </c>
      <c r="E524" s="41">
        <v>1600</v>
      </c>
      <c r="F524" s="43">
        <f>L442</f>
        <v>4.5076195987654322E-3</v>
      </c>
      <c r="G524" s="53" t="s">
        <v>129</v>
      </c>
      <c r="H524" s="43" t="s">
        <v>103</v>
      </c>
      <c r="I524" s="43">
        <f>F524</f>
        <v>4.5076195987654322E-3</v>
      </c>
      <c r="J524" s="71"/>
      <c r="K524" s="52" t="str">
        <f t="shared" ref="K524:K527" si="119">IF(J524="","",ABS(I524-J524))</f>
        <v/>
      </c>
      <c r="L524" s="75" t="s">
        <v>98</v>
      </c>
      <c r="M524" s="164"/>
      <c r="N524" s="164"/>
      <c r="O524" s="82" t="s">
        <v>122</v>
      </c>
      <c r="P524" s="43">
        <f>S444</f>
        <v>3.7268518518518519E-3</v>
      </c>
      <c r="Q524" s="71"/>
      <c r="R524" s="52" t="str">
        <f>IF(Q524="","",ABS(P524-Q524))</f>
        <v/>
      </c>
      <c r="S524" s="78" t="s">
        <v>98</v>
      </c>
      <c r="T524" s="164"/>
      <c r="U524" s="168"/>
      <c r="V524" s="41" t="s">
        <v>156</v>
      </c>
      <c r="W524" s="43">
        <f>Z441+19/86400</f>
        <v>3.578317901234568E-3</v>
      </c>
      <c r="X524" s="71"/>
      <c r="Y524" s="52" t="str">
        <f>IF(X524="","",ABS(W524-X524))</f>
        <v/>
      </c>
      <c r="Z524" s="78" t="s">
        <v>98</v>
      </c>
      <c r="AA524" s="164"/>
      <c r="AB524" s="169"/>
      <c r="AC524" s="37"/>
      <c r="AD524" s="41"/>
      <c r="AE524" s="41"/>
      <c r="AF524" s="41"/>
    </row>
    <row r="525" spans="1:32" ht="16" customHeight="1" x14ac:dyDescent="0.2">
      <c r="A525" s="37"/>
      <c r="B525" s="174"/>
      <c r="C525" s="175"/>
      <c r="D525" s="82" t="s">
        <v>59</v>
      </c>
      <c r="E525" s="41">
        <v>800</v>
      </c>
      <c r="F525" s="43">
        <f>F443</f>
        <v>2.1566358024691359E-3</v>
      </c>
      <c r="G525" s="53" t="s">
        <v>129</v>
      </c>
      <c r="H525" s="43" t="s">
        <v>104</v>
      </c>
      <c r="I525" s="43">
        <f>F525</f>
        <v>2.1566358024691359E-3</v>
      </c>
      <c r="J525" s="71"/>
      <c r="K525" s="52" t="str">
        <f t="shared" si="119"/>
        <v/>
      </c>
      <c r="L525" s="170" t="s">
        <v>112</v>
      </c>
      <c r="M525" s="171"/>
      <c r="N525" s="90"/>
      <c r="O525" s="82" t="s">
        <v>123</v>
      </c>
      <c r="P525" s="43">
        <f>S442</f>
        <v>3.1481481481481482E-3</v>
      </c>
      <c r="Q525" s="71"/>
      <c r="R525" s="52" t="str">
        <f t="shared" ref="R525:R526" si="120">IF(Q525="","",ABS(P525-Q525))</f>
        <v/>
      </c>
      <c r="S525" s="170" t="s">
        <v>112</v>
      </c>
      <c r="T525" s="171"/>
      <c r="U525" s="83"/>
      <c r="V525" s="166" t="s">
        <v>111</v>
      </c>
      <c r="W525" s="166"/>
      <c r="X525" s="166"/>
      <c r="Y525" s="167"/>
      <c r="Z525" s="170" t="s">
        <v>112</v>
      </c>
      <c r="AA525" s="171"/>
      <c r="AB525" s="80"/>
      <c r="AC525" s="37"/>
      <c r="AD525" s="41"/>
      <c r="AE525" s="41"/>
      <c r="AF525" s="41"/>
    </row>
    <row r="526" spans="1:32" ht="16" customHeight="1" x14ac:dyDescent="0.2">
      <c r="A526" s="37"/>
      <c r="B526" s="174"/>
      <c r="C526" s="175"/>
      <c r="D526" s="165" t="s">
        <v>111</v>
      </c>
      <c r="E526" s="166"/>
      <c r="F526" s="166"/>
      <c r="G526" s="167"/>
      <c r="H526" s="43" t="s">
        <v>105</v>
      </c>
      <c r="I526" s="43">
        <f>F525</f>
        <v>2.1566358024691359E-3</v>
      </c>
      <c r="J526" s="71"/>
      <c r="K526" s="52" t="str">
        <f t="shared" si="119"/>
        <v/>
      </c>
      <c r="L526" s="163" t="s">
        <v>88</v>
      </c>
      <c r="M526" s="164"/>
      <c r="N526" s="164"/>
      <c r="O526" s="82" t="s">
        <v>122</v>
      </c>
      <c r="P526" s="43">
        <f>P524</f>
        <v>3.7268518518518519E-3</v>
      </c>
      <c r="Q526" s="71"/>
      <c r="R526" s="52" t="str">
        <f t="shared" si="120"/>
        <v/>
      </c>
      <c r="S526" s="163" t="s">
        <v>88</v>
      </c>
      <c r="T526" s="164"/>
      <c r="U526" s="168"/>
      <c r="V526" s="30"/>
      <c r="W526" s="30"/>
      <c r="X526" s="30"/>
      <c r="Y526" s="30"/>
      <c r="Z526" s="163" t="s">
        <v>88</v>
      </c>
      <c r="AA526" s="164"/>
      <c r="AB526" s="169"/>
      <c r="AC526" s="37"/>
      <c r="AD526" s="41"/>
      <c r="AE526" s="41"/>
      <c r="AF526" s="41"/>
    </row>
    <row r="527" spans="1:32" ht="16" customHeight="1" thickBot="1" x14ac:dyDescent="0.25">
      <c r="A527" s="37"/>
      <c r="B527" s="174"/>
      <c r="C527" s="175"/>
      <c r="D527" s="84"/>
      <c r="E527" s="43"/>
      <c r="F527" s="43"/>
      <c r="G527" s="53"/>
      <c r="H527" s="43"/>
      <c r="I527" s="43"/>
      <c r="J527" s="43"/>
      <c r="K527" s="52" t="str">
        <f t="shared" si="119"/>
        <v/>
      </c>
      <c r="L527" s="163"/>
      <c r="M527" s="164"/>
      <c r="N527" s="164"/>
      <c r="O527" s="165" t="s">
        <v>111</v>
      </c>
      <c r="P527" s="166"/>
      <c r="Q527" s="166"/>
      <c r="R527" s="167"/>
      <c r="S527" s="163"/>
      <c r="T527" s="164"/>
      <c r="U527" s="168"/>
      <c r="V527" s="30"/>
      <c r="W527" s="30"/>
      <c r="X527" s="30"/>
      <c r="Y527" s="30"/>
      <c r="Z527" s="163"/>
      <c r="AA527" s="164"/>
      <c r="AB527" s="169"/>
      <c r="AC527" s="37"/>
      <c r="AD527" s="41"/>
      <c r="AE527" s="41"/>
      <c r="AF527" s="41"/>
    </row>
    <row r="528" spans="1:32" ht="16" customHeight="1" x14ac:dyDescent="0.2">
      <c r="A528" s="37"/>
      <c r="B528" s="172">
        <f>B520+1</f>
        <v>10</v>
      </c>
      <c r="C528" s="173"/>
      <c r="D528" s="178">
        <f>D445+(B528-1)*7</f>
        <v>42717</v>
      </c>
      <c r="E528" s="179"/>
      <c r="F528" s="179"/>
      <c r="G528" s="179"/>
      <c r="H528" s="179"/>
      <c r="I528" s="179"/>
      <c r="J528" s="179"/>
      <c r="K528" s="179"/>
      <c r="L528" s="179"/>
      <c r="M528" s="179"/>
      <c r="N528" s="179"/>
      <c r="O528" s="178">
        <f>O445+(B528-1)*7</f>
        <v>42720</v>
      </c>
      <c r="P528" s="179"/>
      <c r="Q528" s="179"/>
      <c r="R528" s="179"/>
      <c r="S528" s="179"/>
      <c r="T528" s="179"/>
      <c r="U528" s="180"/>
      <c r="V528" s="179">
        <f>V445+(B528-1)*7</f>
        <v>42722</v>
      </c>
      <c r="W528" s="179"/>
      <c r="X528" s="179"/>
      <c r="Y528" s="179"/>
      <c r="Z528" s="179"/>
      <c r="AA528" s="179"/>
      <c r="AB528" s="181"/>
      <c r="AC528" s="37"/>
      <c r="AD528" s="41"/>
      <c r="AE528" s="41"/>
      <c r="AF528" s="41"/>
    </row>
    <row r="529" spans="1:32" ht="16" customHeight="1" x14ac:dyDescent="0.2">
      <c r="A529" s="37"/>
      <c r="B529" s="174"/>
      <c r="C529" s="175"/>
      <c r="D529" s="182" t="s">
        <v>99</v>
      </c>
      <c r="E529" s="183"/>
      <c r="F529" s="183"/>
      <c r="G529" s="184"/>
      <c r="H529" s="185" t="s">
        <v>101</v>
      </c>
      <c r="I529" s="183"/>
      <c r="J529" s="183"/>
      <c r="K529" s="184"/>
      <c r="L529" s="183" t="s">
        <v>100</v>
      </c>
      <c r="M529" s="183"/>
      <c r="N529" s="183"/>
      <c r="O529" s="182" t="s">
        <v>99</v>
      </c>
      <c r="P529" s="183"/>
      <c r="Q529" s="183"/>
      <c r="R529" s="183"/>
      <c r="S529" s="185" t="s">
        <v>100</v>
      </c>
      <c r="T529" s="183"/>
      <c r="U529" s="186"/>
      <c r="V529" s="183" t="s">
        <v>99</v>
      </c>
      <c r="W529" s="183"/>
      <c r="X529" s="183"/>
      <c r="Y529" s="183"/>
      <c r="Z529" s="185" t="s">
        <v>100</v>
      </c>
      <c r="AA529" s="183"/>
      <c r="AB529" s="187"/>
      <c r="AC529" s="37"/>
      <c r="AD529" s="41"/>
      <c r="AE529" s="41"/>
      <c r="AF529" s="41"/>
    </row>
    <row r="530" spans="1:32" ht="16" customHeight="1" x14ac:dyDescent="0.2">
      <c r="A530" s="37"/>
      <c r="B530" s="174"/>
      <c r="C530" s="175"/>
      <c r="D530" s="188" t="s">
        <v>110</v>
      </c>
      <c r="E530" s="189"/>
      <c r="F530" s="189"/>
      <c r="G530" s="190"/>
      <c r="H530" s="43" t="s">
        <v>113</v>
      </c>
      <c r="I530" s="43" t="s">
        <v>114</v>
      </c>
      <c r="J530" s="71" t="s">
        <v>115</v>
      </c>
      <c r="K530" s="53" t="s">
        <v>116</v>
      </c>
      <c r="L530" s="77" t="s">
        <v>96</v>
      </c>
      <c r="M530" s="191"/>
      <c r="N530" s="192"/>
      <c r="O530" s="189" t="s">
        <v>110</v>
      </c>
      <c r="P530" s="189"/>
      <c r="Q530" s="189"/>
      <c r="R530" s="189"/>
      <c r="S530" s="77" t="s">
        <v>96</v>
      </c>
      <c r="T530" s="191"/>
      <c r="U530" s="192"/>
      <c r="V530" s="189" t="s">
        <v>110</v>
      </c>
      <c r="W530" s="189"/>
      <c r="X530" s="189"/>
      <c r="Y530" s="189"/>
      <c r="Z530" s="77" t="s">
        <v>96</v>
      </c>
      <c r="AA530" s="191"/>
      <c r="AB530" s="193"/>
      <c r="AC530" s="37"/>
      <c r="AD530" s="41"/>
      <c r="AE530" s="41"/>
      <c r="AF530" s="41"/>
    </row>
    <row r="531" spans="1:32" ht="16" customHeight="1" x14ac:dyDescent="0.2">
      <c r="A531" s="37"/>
      <c r="B531" s="174"/>
      <c r="C531" s="175"/>
      <c r="D531" s="82" t="s">
        <v>53</v>
      </c>
      <c r="E531" s="41" t="s">
        <v>54</v>
      </c>
      <c r="F531" s="41" t="s">
        <v>90</v>
      </c>
      <c r="G531" s="53" t="s">
        <v>55</v>
      </c>
      <c r="H531" s="43" t="s">
        <v>102</v>
      </c>
      <c r="I531" s="43">
        <f>F532</f>
        <v>3.3135609567901229E-3</v>
      </c>
      <c r="J531" s="71"/>
      <c r="K531" s="52" t="str">
        <f>IF(J531="","",ABS(I531-J531))</f>
        <v/>
      </c>
      <c r="L531" s="78" t="s">
        <v>97</v>
      </c>
      <c r="M531" s="164"/>
      <c r="N531" s="168"/>
      <c r="O531" s="41" t="s">
        <v>54</v>
      </c>
      <c r="P531" s="41" t="s">
        <v>65</v>
      </c>
      <c r="Q531" s="67" t="s">
        <v>117</v>
      </c>
      <c r="R531" s="41" t="s">
        <v>116</v>
      </c>
      <c r="S531" s="78" t="s">
        <v>97</v>
      </c>
      <c r="T531" s="164"/>
      <c r="U531" s="168"/>
      <c r="V531" s="41" t="s">
        <v>54</v>
      </c>
      <c r="W531" s="41" t="s">
        <v>65</v>
      </c>
      <c r="X531" s="67" t="s">
        <v>117</v>
      </c>
      <c r="Y531" s="41" t="s">
        <v>116</v>
      </c>
      <c r="Z531" s="78" t="s">
        <v>97</v>
      </c>
      <c r="AA531" s="164"/>
      <c r="AB531" s="169"/>
      <c r="AC531" s="37"/>
      <c r="AD531" s="41"/>
      <c r="AE531" s="41"/>
      <c r="AF531" s="41"/>
    </row>
    <row r="532" spans="1:32" ht="16" customHeight="1" x14ac:dyDescent="0.2">
      <c r="A532" s="37"/>
      <c r="B532" s="174"/>
      <c r="C532" s="175"/>
      <c r="D532" s="82" t="s">
        <v>61</v>
      </c>
      <c r="E532" s="41">
        <v>1200</v>
      </c>
      <c r="F532" s="43">
        <f>L441</f>
        <v>3.3135609567901229E-3</v>
      </c>
      <c r="G532" s="53" t="s">
        <v>145</v>
      </c>
      <c r="H532" s="43" t="s">
        <v>103</v>
      </c>
      <c r="I532" s="43">
        <f>F532</f>
        <v>3.3135609567901229E-3</v>
      </c>
      <c r="J532" s="71"/>
      <c r="K532" s="52" t="str">
        <f t="shared" ref="K532:K535" si="121">IF(J532="","",ABS(I532-J532))</f>
        <v/>
      </c>
      <c r="L532" s="78" t="s">
        <v>98</v>
      </c>
      <c r="M532" s="164"/>
      <c r="N532" s="168"/>
      <c r="O532" s="41" t="s">
        <v>139</v>
      </c>
      <c r="P532" s="43">
        <f>Z441</f>
        <v>3.3584104938271606E-3</v>
      </c>
      <c r="Q532" s="71"/>
      <c r="R532" s="52" t="str">
        <f>IF(Q532="","",ABS(P532-Q532))</f>
        <v/>
      </c>
      <c r="S532" s="78" t="s">
        <v>98</v>
      </c>
      <c r="T532" s="164"/>
      <c r="U532" s="168"/>
      <c r="V532" s="41" t="s">
        <v>157</v>
      </c>
      <c r="W532" s="43">
        <f>Z441+12/86400</f>
        <v>3.4972993827160495E-3</v>
      </c>
      <c r="X532" s="71"/>
      <c r="Y532" s="52" t="str">
        <f>IF(X532="","",ABS(W532-X532))</f>
        <v/>
      </c>
      <c r="Z532" s="78" t="s">
        <v>98</v>
      </c>
      <c r="AA532" s="164"/>
      <c r="AB532" s="169"/>
      <c r="AC532" s="37"/>
      <c r="AD532" s="41"/>
      <c r="AE532" s="41"/>
      <c r="AF532" s="41"/>
    </row>
    <row r="533" spans="1:32" ht="16" customHeight="1" x14ac:dyDescent="0.2">
      <c r="A533" s="37"/>
      <c r="B533" s="174"/>
      <c r="C533" s="175"/>
      <c r="D533" s="165" t="s">
        <v>111</v>
      </c>
      <c r="E533" s="166"/>
      <c r="F533" s="166"/>
      <c r="G533" s="167"/>
      <c r="H533" s="43" t="s">
        <v>104</v>
      </c>
      <c r="I533" s="43">
        <f>I532</f>
        <v>3.3135609567901229E-3</v>
      </c>
      <c r="J533" s="71"/>
      <c r="K533" s="52" t="str">
        <f t="shared" si="121"/>
        <v/>
      </c>
      <c r="L533" s="170" t="s">
        <v>112</v>
      </c>
      <c r="M533" s="171"/>
      <c r="N533" s="103"/>
      <c r="O533" s="166" t="s">
        <v>111</v>
      </c>
      <c r="P533" s="166"/>
      <c r="Q533" s="166"/>
      <c r="R533" s="167"/>
      <c r="S533" s="170" t="s">
        <v>112</v>
      </c>
      <c r="T533" s="171"/>
      <c r="U533" s="83"/>
      <c r="V533" s="166" t="s">
        <v>111</v>
      </c>
      <c r="W533" s="166"/>
      <c r="X533" s="166"/>
      <c r="Y533" s="167"/>
      <c r="Z533" s="170" t="s">
        <v>112</v>
      </c>
      <c r="AA533" s="171"/>
      <c r="AB533" s="80"/>
      <c r="AC533" s="37"/>
      <c r="AD533" s="41"/>
      <c r="AE533" s="41"/>
      <c r="AF533" s="41"/>
    </row>
    <row r="534" spans="1:32" ht="16" customHeight="1" x14ac:dyDescent="0.2">
      <c r="A534" s="37"/>
      <c r="B534" s="174"/>
      <c r="C534" s="175"/>
      <c r="D534" s="165"/>
      <c r="E534" s="166"/>
      <c r="F534" s="166"/>
      <c r="G534" s="167"/>
      <c r="H534" s="43" t="s">
        <v>105</v>
      </c>
      <c r="I534" s="43">
        <f>I533</f>
        <v>3.3135609567901229E-3</v>
      </c>
      <c r="J534" s="71"/>
      <c r="K534" s="52" t="str">
        <f t="shared" si="121"/>
        <v/>
      </c>
      <c r="L534" s="163" t="s">
        <v>88</v>
      </c>
      <c r="M534" s="164"/>
      <c r="N534" s="168"/>
      <c r="O534" s="41"/>
      <c r="P534" s="43"/>
      <c r="Q534" s="43"/>
      <c r="R534" s="52"/>
      <c r="S534" s="163" t="s">
        <v>88</v>
      </c>
      <c r="T534" s="164"/>
      <c r="U534" s="168"/>
      <c r="V534" s="30"/>
      <c r="W534" s="30"/>
      <c r="X534" s="30"/>
      <c r="Y534" s="30"/>
      <c r="Z534" s="163" t="s">
        <v>88</v>
      </c>
      <c r="AA534" s="164"/>
      <c r="AB534" s="169"/>
      <c r="AC534" s="37"/>
      <c r="AD534" s="41"/>
      <c r="AE534" s="41"/>
      <c r="AF534" s="41"/>
    </row>
    <row r="535" spans="1:32" ht="16" customHeight="1" thickBot="1" x14ac:dyDescent="0.25">
      <c r="A535" s="37"/>
      <c r="B535" s="174"/>
      <c r="C535" s="175"/>
      <c r="D535" s="84"/>
      <c r="E535" s="43"/>
      <c r="F535" s="43"/>
      <c r="G535" s="53"/>
      <c r="H535" s="43"/>
      <c r="I535" s="43"/>
      <c r="J535" s="43"/>
      <c r="K535" s="52" t="str">
        <f t="shared" si="121"/>
        <v/>
      </c>
      <c r="L535" s="163"/>
      <c r="M535" s="164"/>
      <c r="N535" s="164"/>
      <c r="O535" s="165"/>
      <c r="P535" s="166"/>
      <c r="Q535" s="166"/>
      <c r="R535" s="167"/>
      <c r="S535" s="163"/>
      <c r="T535" s="164"/>
      <c r="U535" s="168"/>
      <c r="V535" s="30"/>
      <c r="W535" s="30"/>
      <c r="X535" s="30"/>
      <c r="Y535" s="30"/>
      <c r="Z535" s="163"/>
      <c r="AA535" s="164"/>
      <c r="AB535" s="169"/>
      <c r="AC535" s="37"/>
      <c r="AD535" s="41"/>
      <c r="AE535" s="41"/>
      <c r="AF535" s="41"/>
    </row>
    <row r="536" spans="1:32" ht="16" customHeight="1" x14ac:dyDescent="0.2">
      <c r="A536" s="37"/>
      <c r="B536" s="172">
        <f>B528+1</f>
        <v>11</v>
      </c>
      <c r="C536" s="173"/>
      <c r="D536" s="178">
        <f>D445+(B536-1)*7</f>
        <v>42724</v>
      </c>
      <c r="E536" s="179"/>
      <c r="F536" s="179"/>
      <c r="G536" s="179"/>
      <c r="H536" s="179"/>
      <c r="I536" s="179"/>
      <c r="J536" s="179"/>
      <c r="K536" s="179"/>
      <c r="L536" s="179"/>
      <c r="M536" s="179"/>
      <c r="N536" s="179"/>
      <c r="O536" s="178">
        <f>O445+(B536-1)*7</f>
        <v>42727</v>
      </c>
      <c r="P536" s="179"/>
      <c r="Q536" s="179"/>
      <c r="R536" s="179"/>
      <c r="S536" s="179"/>
      <c r="T536" s="179"/>
      <c r="U536" s="180"/>
      <c r="V536" s="179">
        <f>V445+(B536-1)*7</f>
        <v>42729</v>
      </c>
      <c r="W536" s="179"/>
      <c r="X536" s="179"/>
      <c r="Y536" s="179"/>
      <c r="Z536" s="179"/>
      <c r="AA536" s="179"/>
      <c r="AB536" s="181"/>
      <c r="AC536" s="37"/>
      <c r="AD536" s="41"/>
      <c r="AE536" s="41"/>
      <c r="AF536" s="41"/>
    </row>
    <row r="537" spans="1:32" ht="16" customHeight="1" x14ac:dyDescent="0.2">
      <c r="A537" s="37"/>
      <c r="B537" s="174"/>
      <c r="C537" s="175"/>
      <c r="D537" s="182" t="s">
        <v>99</v>
      </c>
      <c r="E537" s="183"/>
      <c r="F537" s="183"/>
      <c r="G537" s="184"/>
      <c r="H537" s="185" t="s">
        <v>101</v>
      </c>
      <c r="I537" s="183"/>
      <c r="J537" s="183"/>
      <c r="K537" s="184"/>
      <c r="L537" s="183" t="s">
        <v>100</v>
      </c>
      <c r="M537" s="183"/>
      <c r="N537" s="183"/>
      <c r="O537" s="182" t="s">
        <v>99</v>
      </c>
      <c r="P537" s="183"/>
      <c r="Q537" s="183"/>
      <c r="R537" s="183"/>
      <c r="S537" s="185" t="s">
        <v>100</v>
      </c>
      <c r="T537" s="183"/>
      <c r="U537" s="186"/>
      <c r="V537" s="183" t="s">
        <v>99</v>
      </c>
      <c r="W537" s="183"/>
      <c r="X537" s="183"/>
      <c r="Y537" s="183"/>
      <c r="Z537" s="185" t="s">
        <v>100</v>
      </c>
      <c r="AA537" s="183"/>
      <c r="AB537" s="187"/>
      <c r="AC537" s="37"/>
      <c r="AD537" s="41"/>
      <c r="AE537" s="41"/>
      <c r="AF537" s="41"/>
    </row>
    <row r="538" spans="1:32" ht="16" customHeight="1" x14ac:dyDescent="0.2">
      <c r="A538" s="37"/>
      <c r="B538" s="174"/>
      <c r="C538" s="175"/>
      <c r="D538" s="188" t="s">
        <v>110</v>
      </c>
      <c r="E538" s="189"/>
      <c r="F538" s="189"/>
      <c r="G538" s="190"/>
      <c r="H538" s="43" t="s">
        <v>113</v>
      </c>
      <c r="I538" s="43" t="s">
        <v>114</v>
      </c>
      <c r="J538" s="71" t="s">
        <v>115</v>
      </c>
      <c r="K538" s="53" t="s">
        <v>116</v>
      </c>
      <c r="L538" s="74" t="s">
        <v>96</v>
      </c>
      <c r="M538" s="191"/>
      <c r="N538" s="191"/>
      <c r="O538" s="188" t="s">
        <v>110</v>
      </c>
      <c r="P538" s="189"/>
      <c r="Q538" s="189"/>
      <c r="R538" s="189"/>
      <c r="S538" s="77" t="s">
        <v>96</v>
      </c>
      <c r="T538" s="191"/>
      <c r="U538" s="192"/>
      <c r="V538" s="189" t="s">
        <v>110</v>
      </c>
      <c r="W538" s="189"/>
      <c r="X538" s="189"/>
      <c r="Y538" s="189"/>
      <c r="Z538" s="77" t="s">
        <v>96</v>
      </c>
      <c r="AA538" s="191"/>
      <c r="AB538" s="193"/>
      <c r="AC538" s="37"/>
      <c r="AD538" s="41"/>
      <c r="AE538" s="41"/>
      <c r="AF538" s="41"/>
    </row>
    <row r="539" spans="1:32" ht="16" customHeight="1" x14ac:dyDescent="0.2">
      <c r="A539" s="37"/>
      <c r="B539" s="174"/>
      <c r="C539" s="175"/>
      <c r="D539" s="82" t="s">
        <v>53</v>
      </c>
      <c r="E539" s="41" t="s">
        <v>54</v>
      </c>
      <c r="F539" s="41" t="s">
        <v>90</v>
      </c>
      <c r="G539" s="53" t="s">
        <v>55</v>
      </c>
      <c r="H539" s="43" t="s">
        <v>102</v>
      </c>
      <c r="I539" s="43">
        <f>F540</f>
        <v>2.7247299382716049E-3</v>
      </c>
      <c r="J539" s="71"/>
      <c r="K539" s="52" t="str">
        <f>IF(J539="","",ABS(I539-J539))</f>
        <v/>
      </c>
      <c r="L539" s="75" t="s">
        <v>97</v>
      </c>
      <c r="M539" s="164"/>
      <c r="N539" s="164"/>
      <c r="O539" s="82" t="s">
        <v>54</v>
      </c>
      <c r="P539" s="41" t="s">
        <v>65</v>
      </c>
      <c r="Q539" s="67" t="s">
        <v>117</v>
      </c>
      <c r="R539" s="41" t="s">
        <v>116</v>
      </c>
      <c r="S539" s="78" t="s">
        <v>97</v>
      </c>
      <c r="T539" s="164"/>
      <c r="U539" s="168"/>
      <c r="V539" s="41" t="s">
        <v>54</v>
      </c>
      <c r="W539" s="41" t="s">
        <v>65</v>
      </c>
      <c r="X539" s="67" t="s">
        <v>117</v>
      </c>
      <c r="Y539" s="41" t="s">
        <v>116</v>
      </c>
      <c r="Z539" s="78" t="s">
        <v>97</v>
      </c>
      <c r="AA539" s="164"/>
      <c r="AB539" s="169"/>
      <c r="AC539" s="37"/>
      <c r="AD539" s="41"/>
      <c r="AE539" s="41"/>
      <c r="AF539" s="41"/>
    </row>
    <row r="540" spans="1:32" ht="16" customHeight="1" x14ac:dyDescent="0.2">
      <c r="A540" s="37"/>
      <c r="B540" s="174"/>
      <c r="C540" s="175"/>
      <c r="D540" s="82" t="s">
        <v>60</v>
      </c>
      <c r="E540" s="41">
        <v>1000</v>
      </c>
      <c r="F540" s="43">
        <f>F444</f>
        <v>2.7247299382716049E-3</v>
      </c>
      <c r="G540" s="53" t="s">
        <v>57</v>
      </c>
      <c r="H540" s="43" t="s">
        <v>103</v>
      </c>
      <c r="I540" s="43">
        <f>F541</f>
        <v>5.6925154320987652E-3</v>
      </c>
      <c r="J540" s="71"/>
      <c r="K540" s="52" t="str">
        <f t="shared" ref="K540:K543" si="122">IF(J540="","",ABS(I540-J540))</f>
        <v/>
      </c>
      <c r="L540" s="75" t="s">
        <v>98</v>
      </c>
      <c r="M540" s="164"/>
      <c r="N540" s="164"/>
      <c r="O540" s="82" t="s">
        <v>122</v>
      </c>
      <c r="P540" s="43">
        <f>S444</f>
        <v>3.7268518518518519E-3</v>
      </c>
      <c r="Q540" s="71"/>
      <c r="R540" s="52" t="str">
        <f>IF(Q540="","",ABS(P540-Q540))</f>
        <v/>
      </c>
      <c r="S540" s="78" t="s">
        <v>98</v>
      </c>
      <c r="T540" s="164"/>
      <c r="U540" s="168"/>
      <c r="V540" s="41" t="s">
        <v>158</v>
      </c>
      <c r="W540" s="43">
        <f>Z441+28/86400</f>
        <v>3.6824845679012345E-3</v>
      </c>
      <c r="X540" s="71"/>
      <c r="Y540" s="52" t="str">
        <f>IF(X540="","",ABS(W540-X540))</f>
        <v/>
      </c>
      <c r="Z540" s="78" t="s">
        <v>98</v>
      </c>
      <c r="AA540" s="164"/>
      <c r="AB540" s="169"/>
      <c r="AC540" s="37"/>
      <c r="AD540" s="41"/>
      <c r="AE540" s="41"/>
      <c r="AF540" s="41"/>
    </row>
    <row r="541" spans="1:32" ht="16" customHeight="1" x14ac:dyDescent="0.2">
      <c r="A541" s="37"/>
      <c r="B541" s="174"/>
      <c r="C541" s="175"/>
      <c r="D541" s="82" t="s">
        <v>60</v>
      </c>
      <c r="E541" s="41">
        <v>2000</v>
      </c>
      <c r="F541" s="43">
        <f>L443</f>
        <v>5.6925154320987652E-3</v>
      </c>
      <c r="G541" s="53" t="s">
        <v>57</v>
      </c>
      <c r="H541" s="43" t="s">
        <v>104</v>
      </c>
      <c r="I541" s="43">
        <f>F542</f>
        <v>2.7247299382716049E-3</v>
      </c>
      <c r="J541" s="71"/>
      <c r="K541" s="52" t="str">
        <f t="shared" si="122"/>
        <v/>
      </c>
      <c r="L541" s="170" t="s">
        <v>112</v>
      </c>
      <c r="M541" s="171"/>
      <c r="N541" s="90"/>
      <c r="O541" s="82" t="s">
        <v>119</v>
      </c>
      <c r="P541" s="43">
        <f>S442</f>
        <v>3.1481481481481482E-3</v>
      </c>
      <c r="Q541" s="71"/>
      <c r="R541" s="52" t="str">
        <f t="shared" ref="R541:R542" si="123">IF(Q541="","",ABS(P541-Q541))</f>
        <v/>
      </c>
      <c r="S541" s="170" t="s">
        <v>112</v>
      </c>
      <c r="T541" s="171"/>
      <c r="U541" s="83"/>
      <c r="V541" s="166" t="s">
        <v>111</v>
      </c>
      <c r="W541" s="166"/>
      <c r="X541" s="166"/>
      <c r="Y541" s="167"/>
      <c r="Z541" s="170" t="s">
        <v>112</v>
      </c>
      <c r="AA541" s="171"/>
      <c r="AB541" s="80"/>
      <c r="AC541" s="37"/>
      <c r="AD541" s="41"/>
      <c r="AE541" s="41"/>
      <c r="AF541" s="41"/>
    </row>
    <row r="542" spans="1:32" ht="16" customHeight="1" x14ac:dyDescent="0.2">
      <c r="A542" s="37"/>
      <c r="B542" s="174"/>
      <c r="C542" s="175"/>
      <c r="D542" s="82" t="s">
        <v>59</v>
      </c>
      <c r="E542" s="41">
        <v>1000</v>
      </c>
      <c r="F542" s="43">
        <f>F540</f>
        <v>2.7247299382716049E-3</v>
      </c>
      <c r="G542" s="53" t="s">
        <v>57</v>
      </c>
      <c r="H542" s="43" t="s">
        <v>105</v>
      </c>
      <c r="I542" s="43">
        <f>I541</f>
        <v>2.7247299382716049E-3</v>
      </c>
      <c r="J542" s="71"/>
      <c r="K542" s="52" t="str">
        <f t="shared" si="122"/>
        <v/>
      </c>
      <c r="L542" s="163" t="s">
        <v>88</v>
      </c>
      <c r="M542" s="164"/>
      <c r="N542" s="164"/>
      <c r="O542" s="82" t="s">
        <v>122</v>
      </c>
      <c r="P542" s="43">
        <f>P540</f>
        <v>3.7268518518518519E-3</v>
      </c>
      <c r="Q542" s="71"/>
      <c r="R542" s="52" t="str">
        <f t="shared" si="123"/>
        <v/>
      </c>
      <c r="S542" s="163" t="s">
        <v>88</v>
      </c>
      <c r="T542" s="164"/>
      <c r="U542" s="168"/>
      <c r="V542" s="30"/>
      <c r="W542" s="30"/>
      <c r="X542" s="30"/>
      <c r="Y542" s="30"/>
      <c r="Z542" s="163" t="s">
        <v>88</v>
      </c>
      <c r="AA542" s="164"/>
      <c r="AB542" s="169"/>
      <c r="AC542" s="37"/>
      <c r="AD542" s="41"/>
      <c r="AE542" s="41"/>
      <c r="AF542" s="41"/>
    </row>
    <row r="543" spans="1:32" ht="16" customHeight="1" thickBot="1" x14ac:dyDescent="0.25">
      <c r="A543" s="37"/>
      <c r="B543" s="174"/>
      <c r="C543" s="175"/>
      <c r="D543" s="165" t="s">
        <v>111</v>
      </c>
      <c r="E543" s="166"/>
      <c r="F543" s="166"/>
      <c r="G543" s="167"/>
      <c r="H543" s="43"/>
      <c r="I543" s="43"/>
      <c r="J543" s="43"/>
      <c r="K543" s="52" t="str">
        <f t="shared" si="122"/>
        <v/>
      </c>
      <c r="L543" s="163"/>
      <c r="M543" s="164"/>
      <c r="N543" s="164"/>
      <c r="O543" s="165" t="s">
        <v>111</v>
      </c>
      <c r="P543" s="166"/>
      <c r="Q543" s="166"/>
      <c r="R543" s="167"/>
      <c r="S543" s="163"/>
      <c r="T543" s="164"/>
      <c r="U543" s="168"/>
      <c r="V543" s="30"/>
      <c r="W543" s="30"/>
      <c r="X543" s="30"/>
      <c r="Y543" s="30"/>
      <c r="Z543" s="163"/>
      <c r="AA543" s="164"/>
      <c r="AB543" s="169"/>
      <c r="AC543" s="37"/>
      <c r="AD543" s="41"/>
      <c r="AE543" s="41"/>
      <c r="AF543" s="41"/>
    </row>
    <row r="544" spans="1:32" ht="16" customHeight="1" x14ac:dyDescent="0.2">
      <c r="A544" s="37"/>
      <c r="B544" s="172">
        <f>B536+1</f>
        <v>12</v>
      </c>
      <c r="C544" s="173"/>
      <c r="D544" s="178">
        <f>D445+(B544-1)*7</f>
        <v>42731</v>
      </c>
      <c r="E544" s="179"/>
      <c r="F544" s="179"/>
      <c r="G544" s="179"/>
      <c r="H544" s="179"/>
      <c r="I544" s="179"/>
      <c r="J544" s="179"/>
      <c r="K544" s="179"/>
      <c r="L544" s="179"/>
      <c r="M544" s="179"/>
      <c r="N544" s="179"/>
      <c r="O544" s="178">
        <f>O445+(B544-1)*7</f>
        <v>42734</v>
      </c>
      <c r="P544" s="179"/>
      <c r="Q544" s="179"/>
      <c r="R544" s="179"/>
      <c r="S544" s="179"/>
      <c r="T544" s="179"/>
      <c r="U544" s="180"/>
      <c r="V544" s="179">
        <f>V445+(B544-1)*7</f>
        <v>42736</v>
      </c>
      <c r="W544" s="179"/>
      <c r="X544" s="179"/>
      <c r="Y544" s="179"/>
      <c r="Z544" s="179"/>
      <c r="AA544" s="179"/>
      <c r="AB544" s="181"/>
      <c r="AC544" s="37"/>
      <c r="AD544" s="41"/>
      <c r="AE544" s="41"/>
      <c r="AF544" s="41"/>
    </row>
    <row r="545" spans="1:32" ht="16" customHeight="1" x14ac:dyDescent="0.2">
      <c r="A545" s="37"/>
      <c r="B545" s="174"/>
      <c r="C545" s="175"/>
      <c r="D545" s="182" t="s">
        <v>99</v>
      </c>
      <c r="E545" s="183"/>
      <c r="F545" s="183"/>
      <c r="G545" s="184"/>
      <c r="H545" s="185" t="s">
        <v>101</v>
      </c>
      <c r="I545" s="183"/>
      <c r="J545" s="183"/>
      <c r="K545" s="184"/>
      <c r="L545" s="183" t="s">
        <v>100</v>
      </c>
      <c r="M545" s="183"/>
      <c r="N545" s="186"/>
      <c r="O545" s="183" t="s">
        <v>99</v>
      </c>
      <c r="P545" s="183"/>
      <c r="Q545" s="183"/>
      <c r="R545" s="183"/>
      <c r="S545" s="185" t="s">
        <v>100</v>
      </c>
      <c r="T545" s="183"/>
      <c r="U545" s="186"/>
      <c r="V545" s="183" t="s">
        <v>99</v>
      </c>
      <c r="W545" s="183"/>
      <c r="X545" s="183"/>
      <c r="Y545" s="183"/>
      <c r="Z545" s="185" t="s">
        <v>100</v>
      </c>
      <c r="AA545" s="183"/>
      <c r="AB545" s="187"/>
      <c r="AC545" s="37"/>
      <c r="AD545" s="41"/>
      <c r="AE545" s="41"/>
      <c r="AF545" s="41"/>
    </row>
    <row r="546" spans="1:32" ht="16" customHeight="1" x14ac:dyDescent="0.2">
      <c r="A546" s="37"/>
      <c r="B546" s="174"/>
      <c r="C546" s="175"/>
      <c r="D546" s="188" t="s">
        <v>110</v>
      </c>
      <c r="E546" s="189"/>
      <c r="F546" s="189"/>
      <c r="G546" s="190"/>
      <c r="H546" s="43" t="s">
        <v>113</v>
      </c>
      <c r="I546" s="43" t="s">
        <v>114</v>
      </c>
      <c r="J546" s="71" t="s">
        <v>115</v>
      </c>
      <c r="K546" s="53" t="s">
        <v>116</v>
      </c>
      <c r="L546" s="74" t="s">
        <v>96</v>
      </c>
      <c r="M546" s="191"/>
      <c r="N546" s="192"/>
      <c r="O546" s="189" t="s">
        <v>110</v>
      </c>
      <c r="P546" s="189"/>
      <c r="Q546" s="189"/>
      <c r="R546" s="189"/>
      <c r="S546" s="77" t="s">
        <v>96</v>
      </c>
      <c r="T546" s="191"/>
      <c r="U546" s="192"/>
      <c r="V546" s="189" t="s">
        <v>110</v>
      </c>
      <c r="W546" s="189"/>
      <c r="X546" s="189"/>
      <c r="Y546" s="189"/>
      <c r="Z546" s="77" t="s">
        <v>96</v>
      </c>
      <c r="AA546" s="191"/>
      <c r="AB546" s="193"/>
      <c r="AC546" s="37"/>
      <c r="AD546" s="41"/>
      <c r="AE546" s="41"/>
      <c r="AF546" s="41"/>
    </row>
    <row r="547" spans="1:32" ht="16" customHeight="1" x14ac:dyDescent="0.2">
      <c r="A547" s="37"/>
      <c r="B547" s="174"/>
      <c r="C547" s="175"/>
      <c r="D547" s="82" t="s">
        <v>53</v>
      </c>
      <c r="E547" s="41" t="s">
        <v>54</v>
      </c>
      <c r="F547" s="41" t="s">
        <v>90</v>
      </c>
      <c r="G547" s="53" t="s">
        <v>55</v>
      </c>
      <c r="H547" s="43" t="s">
        <v>102</v>
      </c>
      <c r="I547" s="43">
        <f>F548</f>
        <v>4.5076195987654322E-3</v>
      </c>
      <c r="J547" s="71"/>
      <c r="K547" s="52" t="str">
        <f>IF(J547="","",ABS(I547-J547))</f>
        <v/>
      </c>
      <c r="L547" s="75" t="s">
        <v>97</v>
      </c>
      <c r="M547" s="164"/>
      <c r="N547" s="168"/>
      <c r="O547" s="41" t="s">
        <v>54</v>
      </c>
      <c r="P547" s="41" t="s">
        <v>65</v>
      </c>
      <c r="Q547" s="67" t="s">
        <v>117</v>
      </c>
      <c r="R547" s="41" t="s">
        <v>116</v>
      </c>
      <c r="S547" s="78" t="s">
        <v>97</v>
      </c>
      <c r="T547" s="164"/>
      <c r="U547" s="168"/>
      <c r="V547" s="41" t="s">
        <v>54</v>
      </c>
      <c r="W547" s="41" t="s">
        <v>65</v>
      </c>
      <c r="X547" s="67" t="s">
        <v>117</v>
      </c>
      <c r="Y547" s="41" t="s">
        <v>116</v>
      </c>
      <c r="Z547" s="78" t="s">
        <v>97</v>
      </c>
      <c r="AA547" s="164"/>
      <c r="AB547" s="169"/>
      <c r="AC547" s="37"/>
      <c r="AD547" s="41"/>
      <c r="AE547" s="41"/>
      <c r="AF547" s="41"/>
    </row>
    <row r="548" spans="1:32" ht="16" customHeight="1" x14ac:dyDescent="0.2">
      <c r="A548" s="37"/>
      <c r="B548" s="174"/>
      <c r="C548" s="175"/>
      <c r="D548" s="82" t="s">
        <v>64</v>
      </c>
      <c r="E548" s="41">
        <v>1600</v>
      </c>
      <c r="F548" s="43">
        <f>L442</f>
        <v>4.5076195987654322E-3</v>
      </c>
      <c r="G548" s="53" t="s">
        <v>57</v>
      </c>
      <c r="H548" s="43" t="s">
        <v>103</v>
      </c>
      <c r="I548" s="43">
        <f>I547</f>
        <v>4.5076195987654322E-3</v>
      </c>
      <c r="J548" s="71"/>
      <c r="K548" s="52" t="str">
        <f t="shared" ref="K548:K551" si="124">IF(J548="","",ABS(I548-J548))</f>
        <v/>
      </c>
      <c r="L548" s="75" t="s">
        <v>98</v>
      </c>
      <c r="M548" s="164"/>
      <c r="N548" s="168"/>
      <c r="O548" s="41" t="s">
        <v>139</v>
      </c>
      <c r="P548" s="43">
        <f>Z441</f>
        <v>3.3584104938271606E-3</v>
      </c>
      <c r="Q548" s="71"/>
      <c r="R548" s="52" t="str">
        <f>IF(Q548="","",ABS(P548-Q548))</f>
        <v/>
      </c>
      <c r="S548" s="78" t="s">
        <v>98</v>
      </c>
      <c r="T548" s="164"/>
      <c r="U548" s="168"/>
      <c r="V548" s="41" t="s">
        <v>149</v>
      </c>
      <c r="W548" s="43">
        <f>Z441+9/86400</f>
        <v>3.4625771604938271E-3</v>
      </c>
      <c r="X548" s="71"/>
      <c r="Y548" s="52" t="str">
        <f>IF(X548="","",ABS(W548-X548))</f>
        <v/>
      </c>
      <c r="Z548" s="78" t="s">
        <v>98</v>
      </c>
      <c r="AA548" s="164"/>
      <c r="AB548" s="169"/>
      <c r="AC548" s="37"/>
      <c r="AD548" s="41"/>
      <c r="AE548" s="41"/>
      <c r="AF548" s="41"/>
    </row>
    <row r="549" spans="1:32" ht="16" customHeight="1" x14ac:dyDescent="0.2">
      <c r="A549" s="37"/>
      <c r="B549" s="174"/>
      <c r="C549" s="175"/>
      <c r="D549" s="165" t="s">
        <v>111</v>
      </c>
      <c r="E549" s="166"/>
      <c r="F549" s="166"/>
      <c r="G549" s="167"/>
      <c r="H549" s="43" t="s">
        <v>104</v>
      </c>
      <c r="I549" s="43">
        <f>I548</f>
        <v>4.5076195987654322E-3</v>
      </c>
      <c r="J549" s="71"/>
      <c r="K549" s="52" t="str">
        <f t="shared" si="124"/>
        <v/>
      </c>
      <c r="L549" s="170" t="s">
        <v>112</v>
      </c>
      <c r="M549" s="171"/>
      <c r="N549" s="83"/>
      <c r="O549" s="166" t="s">
        <v>111</v>
      </c>
      <c r="P549" s="166"/>
      <c r="Q549" s="166"/>
      <c r="R549" s="167"/>
      <c r="S549" s="170" t="s">
        <v>112</v>
      </c>
      <c r="T549" s="171"/>
      <c r="U549" s="83"/>
      <c r="V549" s="166" t="s">
        <v>111</v>
      </c>
      <c r="W549" s="166"/>
      <c r="X549" s="166"/>
      <c r="Y549" s="167"/>
      <c r="Z549" s="170" t="s">
        <v>112</v>
      </c>
      <c r="AA549" s="171"/>
      <c r="AB549" s="80"/>
      <c r="AC549" s="37"/>
      <c r="AD549" s="41"/>
      <c r="AE549" s="41"/>
      <c r="AF549" s="41"/>
    </row>
    <row r="550" spans="1:32" ht="16" customHeight="1" x14ac:dyDescent="0.2">
      <c r="A550" s="37"/>
      <c r="B550" s="174"/>
      <c r="C550" s="175"/>
      <c r="D550" s="82"/>
      <c r="E550" s="41"/>
      <c r="F550" s="43"/>
      <c r="G550" s="53"/>
      <c r="H550" s="43"/>
      <c r="I550" s="43"/>
      <c r="J550" s="43"/>
      <c r="K550" s="52" t="str">
        <f t="shared" si="124"/>
        <v/>
      </c>
      <c r="L550" s="163" t="s">
        <v>88</v>
      </c>
      <c r="M550" s="164"/>
      <c r="N550" s="168"/>
      <c r="O550" s="41"/>
      <c r="P550" s="43"/>
      <c r="Q550" s="43"/>
      <c r="R550" s="52"/>
      <c r="S550" s="163" t="s">
        <v>88</v>
      </c>
      <c r="T550" s="164"/>
      <c r="U550" s="168"/>
      <c r="V550" s="30"/>
      <c r="W550" s="30"/>
      <c r="X550" s="30"/>
      <c r="Y550" s="30"/>
      <c r="Z550" s="163" t="s">
        <v>88</v>
      </c>
      <c r="AA550" s="164"/>
      <c r="AB550" s="169"/>
      <c r="AC550" s="37"/>
      <c r="AD550" s="41"/>
      <c r="AE550" s="41"/>
      <c r="AF550" s="41"/>
    </row>
    <row r="551" spans="1:32" ht="16" customHeight="1" thickBot="1" x14ac:dyDescent="0.25">
      <c r="A551" s="37"/>
      <c r="B551" s="174"/>
      <c r="C551" s="175"/>
      <c r="D551" s="298"/>
      <c r="E551" s="195"/>
      <c r="F551" s="195"/>
      <c r="G551" s="299"/>
      <c r="H551" s="40"/>
      <c r="I551" s="40"/>
      <c r="J551" s="40"/>
      <c r="K551" s="54" t="str">
        <f t="shared" si="124"/>
        <v/>
      </c>
      <c r="L551" s="300"/>
      <c r="M551" s="301"/>
      <c r="N551" s="302"/>
      <c r="O551" s="166"/>
      <c r="P551" s="166"/>
      <c r="Q551" s="166"/>
      <c r="R551" s="167"/>
      <c r="S551" s="163"/>
      <c r="T551" s="164"/>
      <c r="U551" s="168"/>
      <c r="V551" s="30"/>
      <c r="W551" s="30"/>
      <c r="X551" s="30"/>
      <c r="Y551" s="30"/>
      <c r="Z551" s="163"/>
      <c r="AA551" s="164"/>
      <c r="AB551" s="169"/>
      <c r="AC551" s="37"/>
      <c r="AD551" s="41"/>
      <c r="AE551" s="41"/>
      <c r="AF551" s="41"/>
    </row>
    <row r="552" spans="1:32" ht="16" customHeight="1" x14ac:dyDescent="0.2">
      <c r="A552" s="37"/>
      <c r="B552" s="172">
        <f>B544+1</f>
        <v>13</v>
      </c>
      <c r="C552" s="173"/>
      <c r="D552" s="178">
        <f>D445+(B552-1)*7</f>
        <v>42738</v>
      </c>
      <c r="E552" s="179"/>
      <c r="F552" s="179"/>
      <c r="G552" s="179"/>
      <c r="H552" s="179"/>
      <c r="I552" s="179"/>
      <c r="J552" s="179"/>
      <c r="K552" s="179"/>
      <c r="L552" s="179"/>
      <c r="M552" s="179"/>
      <c r="N552" s="179"/>
      <c r="O552" s="178">
        <f>O445+(B552-1)*7</f>
        <v>42741</v>
      </c>
      <c r="P552" s="179"/>
      <c r="Q552" s="179"/>
      <c r="R552" s="179"/>
      <c r="S552" s="179"/>
      <c r="T552" s="179"/>
      <c r="U552" s="180"/>
      <c r="V552" s="179">
        <f>V445+(B552-1)*7</f>
        <v>42743</v>
      </c>
      <c r="W552" s="179"/>
      <c r="X552" s="179"/>
      <c r="Y552" s="179"/>
      <c r="Z552" s="179"/>
      <c r="AA552" s="179"/>
      <c r="AB552" s="181"/>
      <c r="AC552" s="37"/>
      <c r="AD552" s="41"/>
      <c r="AE552" s="41"/>
      <c r="AF552" s="41"/>
    </row>
    <row r="553" spans="1:32" ht="16" customHeight="1" x14ac:dyDescent="0.2">
      <c r="A553" s="37"/>
      <c r="B553" s="174"/>
      <c r="C553" s="175"/>
      <c r="D553" s="182" t="s">
        <v>99</v>
      </c>
      <c r="E553" s="183"/>
      <c r="F553" s="183"/>
      <c r="G553" s="184"/>
      <c r="H553" s="185" t="s">
        <v>101</v>
      </c>
      <c r="I553" s="183"/>
      <c r="J553" s="183"/>
      <c r="K553" s="184"/>
      <c r="L553" s="183" t="s">
        <v>100</v>
      </c>
      <c r="M553" s="183"/>
      <c r="N553" s="183"/>
      <c r="O553" s="303" t="s">
        <v>99</v>
      </c>
      <c r="P553" s="304"/>
      <c r="Q553" s="304"/>
      <c r="R553" s="305"/>
      <c r="S553" s="185" t="s">
        <v>100</v>
      </c>
      <c r="T553" s="183"/>
      <c r="U553" s="186"/>
      <c r="V553" s="183" t="s">
        <v>99</v>
      </c>
      <c r="W553" s="183"/>
      <c r="X553" s="183"/>
      <c r="Y553" s="183"/>
      <c r="Z553" s="185" t="s">
        <v>100</v>
      </c>
      <c r="AA553" s="183"/>
      <c r="AB553" s="187"/>
      <c r="AC553" s="104"/>
      <c r="AD553" s="30"/>
      <c r="AE553" s="41"/>
      <c r="AF553" s="41"/>
    </row>
    <row r="554" spans="1:32" ht="16" customHeight="1" x14ac:dyDescent="0.2">
      <c r="A554" s="37"/>
      <c r="B554" s="174"/>
      <c r="C554" s="175"/>
      <c r="D554" s="188" t="s">
        <v>110</v>
      </c>
      <c r="E554" s="189"/>
      <c r="F554" s="189"/>
      <c r="G554" s="190"/>
      <c r="H554" s="43" t="s">
        <v>113</v>
      </c>
      <c r="I554" s="43" t="s">
        <v>114</v>
      </c>
      <c r="J554" s="71" t="s">
        <v>115</v>
      </c>
      <c r="K554" s="53" t="s">
        <v>116</v>
      </c>
      <c r="L554" s="74" t="s">
        <v>96</v>
      </c>
      <c r="M554" s="191"/>
      <c r="N554" s="191"/>
      <c r="O554" s="188" t="s">
        <v>110</v>
      </c>
      <c r="P554" s="189"/>
      <c r="Q554" s="189"/>
      <c r="R554" s="190"/>
      <c r="S554" s="77" t="s">
        <v>96</v>
      </c>
      <c r="T554" s="191"/>
      <c r="U554" s="192"/>
      <c r="V554" s="189" t="s">
        <v>110</v>
      </c>
      <c r="W554" s="189"/>
      <c r="X554" s="189"/>
      <c r="Y554" s="189"/>
      <c r="Z554" s="77" t="s">
        <v>96</v>
      </c>
      <c r="AA554" s="191"/>
      <c r="AB554" s="193"/>
      <c r="AC554" s="37"/>
      <c r="AD554" s="41"/>
      <c r="AE554" s="41"/>
      <c r="AF554" s="41"/>
    </row>
    <row r="555" spans="1:32" ht="16" customHeight="1" x14ac:dyDescent="0.2">
      <c r="A555" s="37"/>
      <c r="B555" s="174"/>
      <c r="C555" s="175"/>
      <c r="D555" s="82" t="s">
        <v>53</v>
      </c>
      <c r="E555" s="41" t="s">
        <v>54</v>
      </c>
      <c r="F555" s="41" t="s">
        <v>90</v>
      </c>
      <c r="G555" s="53" t="s">
        <v>55</v>
      </c>
      <c r="H555" s="43" t="s">
        <v>102</v>
      </c>
      <c r="I555" s="43">
        <f>F556</f>
        <v>1.0551697530864197E-3</v>
      </c>
      <c r="J555" s="71"/>
      <c r="K555" s="52" t="str">
        <f>IF(J555="","",ABS(I555-J555))</f>
        <v/>
      </c>
      <c r="L555" s="75" t="s">
        <v>97</v>
      </c>
      <c r="M555" s="164"/>
      <c r="N555" s="164"/>
      <c r="O555" s="82" t="s">
        <v>54</v>
      </c>
      <c r="P555" s="41" t="s">
        <v>65</v>
      </c>
      <c r="Q555" s="67" t="s">
        <v>117</v>
      </c>
      <c r="R555" s="53" t="s">
        <v>116</v>
      </c>
      <c r="S555" s="78" t="s">
        <v>97</v>
      </c>
      <c r="T555" s="164"/>
      <c r="U555" s="168"/>
      <c r="V555" s="41" t="s">
        <v>54</v>
      </c>
      <c r="W555" s="41" t="s">
        <v>65</v>
      </c>
      <c r="X555" s="67" t="s">
        <v>117</v>
      </c>
      <c r="Y555" s="41" t="s">
        <v>116</v>
      </c>
      <c r="Z555" s="78" t="s">
        <v>97</v>
      </c>
      <c r="AA555" s="164"/>
      <c r="AB555" s="169"/>
      <c r="AC555" s="37"/>
      <c r="AD555" s="41"/>
      <c r="AE555" s="41"/>
      <c r="AF555" s="41"/>
    </row>
    <row r="556" spans="1:32" ht="16" customHeight="1" x14ac:dyDescent="0.2">
      <c r="A556" s="37"/>
      <c r="B556" s="174"/>
      <c r="C556" s="175"/>
      <c r="D556" s="82" t="s">
        <v>62</v>
      </c>
      <c r="E556" s="41">
        <v>400</v>
      </c>
      <c r="F556" s="43">
        <f>F441</f>
        <v>1.0551697530864197E-3</v>
      </c>
      <c r="G556" s="53" t="s">
        <v>57</v>
      </c>
      <c r="H556" s="43" t="s">
        <v>103</v>
      </c>
      <c r="I556" s="43">
        <f>I555</f>
        <v>1.0551697530864197E-3</v>
      </c>
      <c r="J556" s="71"/>
      <c r="K556" s="52" t="str">
        <f t="shared" ref="K556:K562" si="125">IF(J556="","",ABS(I556-J556))</f>
        <v/>
      </c>
      <c r="L556" s="75" t="s">
        <v>98</v>
      </c>
      <c r="M556" s="164"/>
      <c r="N556" s="164"/>
      <c r="O556" s="82" t="s">
        <v>128</v>
      </c>
      <c r="P556" s="43">
        <f>Z441</f>
        <v>3.3584104938271606E-3</v>
      </c>
      <c r="Q556" s="71"/>
      <c r="R556" s="52" t="str">
        <f>IF(Q556="","",ABS(P556-Q556))</f>
        <v/>
      </c>
      <c r="S556" s="78" t="s">
        <v>98</v>
      </c>
      <c r="T556" s="164"/>
      <c r="U556" s="168"/>
      <c r="V556" s="41" t="s">
        <v>159</v>
      </c>
      <c r="W556" s="43">
        <f>Z441+19/86400</f>
        <v>3.578317901234568E-3</v>
      </c>
      <c r="X556" s="71"/>
      <c r="Y556" s="52" t="str">
        <f>IF(X556="","",ABS(W556-X556))</f>
        <v/>
      </c>
      <c r="Z556" s="78" t="s">
        <v>98</v>
      </c>
      <c r="AA556" s="164"/>
      <c r="AB556" s="169"/>
      <c r="AC556" s="37"/>
      <c r="AD556" s="41"/>
      <c r="AE556" s="41"/>
      <c r="AF556" s="41"/>
    </row>
    <row r="557" spans="1:32" ht="16" customHeight="1" x14ac:dyDescent="0.2">
      <c r="A557" s="37"/>
      <c r="B557" s="174"/>
      <c r="C557" s="175"/>
      <c r="D557" s="165" t="s">
        <v>111</v>
      </c>
      <c r="E557" s="166"/>
      <c r="F557" s="166"/>
      <c r="G557" s="167"/>
      <c r="H557" s="43" t="s">
        <v>104</v>
      </c>
      <c r="I557" s="43">
        <f t="shared" ref="I557:I562" si="126">I556</f>
        <v>1.0551697530864197E-3</v>
      </c>
      <c r="J557" s="71"/>
      <c r="K557" s="52" t="str">
        <f t="shared" si="125"/>
        <v/>
      </c>
      <c r="L557" s="170" t="s">
        <v>112</v>
      </c>
      <c r="M557" s="171"/>
      <c r="N557" s="90"/>
      <c r="O557" s="165" t="s">
        <v>111</v>
      </c>
      <c r="P557" s="166"/>
      <c r="Q557" s="166"/>
      <c r="R557" s="167"/>
      <c r="S557" s="170" t="s">
        <v>112</v>
      </c>
      <c r="T557" s="171"/>
      <c r="U557" s="83"/>
      <c r="V557" s="166" t="s">
        <v>111</v>
      </c>
      <c r="W557" s="166"/>
      <c r="X557" s="166"/>
      <c r="Y557" s="167"/>
      <c r="Z557" s="170" t="s">
        <v>112</v>
      </c>
      <c r="AA557" s="171"/>
      <c r="AB557" s="80"/>
      <c r="AC557" s="37"/>
      <c r="AD557" s="41"/>
      <c r="AE557" s="41"/>
      <c r="AF557" s="41"/>
    </row>
    <row r="558" spans="1:32" ht="16" customHeight="1" x14ac:dyDescent="0.2">
      <c r="A558" s="37"/>
      <c r="B558" s="174"/>
      <c r="C558" s="175"/>
      <c r="D558" s="165"/>
      <c r="E558" s="166"/>
      <c r="F558" s="166"/>
      <c r="G558" s="167"/>
      <c r="H558" s="43" t="s">
        <v>105</v>
      </c>
      <c r="I558" s="43">
        <f t="shared" si="126"/>
        <v>1.0551697530864197E-3</v>
      </c>
      <c r="J558" s="71"/>
      <c r="K558" s="52" t="str">
        <f t="shared" si="125"/>
        <v/>
      </c>
      <c r="L558" s="163" t="s">
        <v>88</v>
      </c>
      <c r="M558" s="164"/>
      <c r="N558" s="164"/>
      <c r="O558" s="82"/>
      <c r="P558" s="43"/>
      <c r="Q558" s="43"/>
      <c r="R558" s="52"/>
      <c r="S558" s="163" t="s">
        <v>88</v>
      </c>
      <c r="T558" s="164"/>
      <c r="U558" s="168"/>
      <c r="V558" s="30"/>
      <c r="W558" s="30"/>
      <c r="X558" s="30"/>
      <c r="Y558" s="30"/>
      <c r="Z558" s="163" t="s">
        <v>88</v>
      </c>
      <c r="AA558" s="164"/>
      <c r="AB558" s="169"/>
      <c r="AC558" s="37"/>
      <c r="AD558" s="41"/>
      <c r="AE558" s="41"/>
      <c r="AF558" s="41"/>
    </row>
    <row r="559" spans="1:32" ht="16" customHeight="1" x14ac:dyDescent="0.2">
      <c r="A559" s="37"/>
      <c r="B559" s="174"/>
      <c r="C559" s="175"/>
      <c r="D559" s="84"/>
      <c r="E559" s="43"/>
      <c r="F559" s="43"/>
      <c r="G559" s="53"/>
      <c r="H559" s="43" t="s">
        <v>106</v>
      </c>
      <c r="I559" s="43">
        <f t="shared" si="126"/>
        <v>1.0551697530864197E-3</v>
      </c>
      <c r="J559" s="71"/>
      <c r="K559" s="52" t="str">
        <f t="shared" si="125"/>
        <v/>
      </c>
      <c r="L559" s="163"/>
      <c r="M559" s="164"/>
      <c r="N559" s="164"/>
      <c r="O559" s="165"/>
      <c r="P559" s="166"/>
      <c r="Q559" s="166"/>
      <c r="R559" s="167"/>
      <c r="S559" s="163"/>
      <c r="T559" s="164"/>
      <c r="U559" s="168"/>
      <c r="V559" s="30"/>
      <c r="W559" s="30"/>
      <c r="X559" s="30"/>
      <c r="Y559" s="30"/>
      <c r="Z559" s="163"/>
      <c r="AA559" s="164"/>
      <c r="AB559" s="169"/>
      <c r="AC559" s="37"/>
      <c r="AD559" s="41"/>
      <c r="AE559" s="41"/>
      <c r="AF559" s="41"/>
    </row>
    <row r="560" spans="1:32" ht="16" customHeight="1" x14ac:dyDescent="0.2">
      <c r="A560" s="37"/>
      <c r="B560" s="174"/>
      <c r="C560" s="175"/>
      <c r="D560" s="84"/>
      <c r="E560" s="43"/>
      <c r="F560" s="43"/>
      <c r="G560" s="53"/>
      <c r="H560" s="43" t="s">
        <v>107</v>
      </c>
      <c r="I560" s="43">
        <f t="shared" si="126"/>
        <v>1.0551697530864197E-3</v>
      </c>
      <c r="J560" s="71"/>
      <c r="K560" s="52" t="str">
        <f t="shared" si="125"/>
        <v/>
      </c>
      <c r="L560" s="41"/>
      <c r="M560" s="41"/>
      <c r="N560" s="30"/>
      <c r="O560" s="82"/>
      <c r="P560" s="43"/>
      <c r="Q560" s="43"/>
      <c r="R560" s="52"/>
      <c r="S560" s="50"/>
      <c r="T560" s="41"/>
      <c r="U560" s="85"/>
      <c r="V560" s="30"/>
      <c r="W560" s="30"/>
      <c r="X560" s="30"/>
      <c r="Y560" s="30"/>
      <c r="Z560" s="50"/>
      <c r="AA560" s="41"/>
      <c r="AB560" s="35"/>
      <c r="AC560" s="37"/>
      <c r="AD560" s="41"/>
      <c r="AE560" s="41"/>
      <c r="AF560" s="41"/>
    </row>
    <row r="561" spans="1:32" ht="16" customHeight="1" x14ac:dyDescent="0.2">
      <c r="A561" s="37"/>
      <c r="B561" s="174"/>
      <c r="C561" s="175"/>
      <c r="D561" s="84"/>
      <c r="E561" s="43"/>
      <c r="F561" s="43"/>
      <c r="G561" s="53"/>
      <c r="H561" s="43" t="s">
        <v>108</v>
      </c>
      <c r="I561" s="43">
        <f t="shared" si="126"/>
        <v>1.0551697530864197E-3</v>
      </c>
      <c r="J561" s="71"/>
      <c r="K561" s="52" t="str">
        <f t="shared" si="125"/>
        <v/>
      </c>
      <c r="L561" s="41"/>
      <c r="M561" s="41"/>
      <c r="N561" s="41"/>
      <c r="O561" s="165"/>
      <c r="P561" s="166"/>
      <c r="Q561" s="166"/>
      <c r="R561" s="167"/>
      <c r="S561" s="50"/>
      <c r="T561" s="41"/>
      <c r="U561" s="85"/>
      <c r="V561" s="30"/>
      <c r="W561" s="30"/>
      <c r="X561" s="30"/>
      <c r="Y561" s="30"/>
      <c r="Z561" s="50"/>
      <c r="AA561" s="41"/>
      <c r="AB561" s="44"/>
      <c r="AC561" s="37"/>
      <c r="AD561" s="41"/>
      <c r="AE561" s="41"/>
      <c r="AF561" s="41"/>
    </row>
    <row r="562" spans="1:32" ht="16" customHeight="1" x14ac:dyDescent="0.2">
      <c r="A562" s="37"/>
      <c r="B562" s="174"/>
      <c r="C562" s="175"/>
      <c r="D562" s="84"/>
      <c r="E562" s="43"/>
      <c r="F562" s="43"/>
      <c r="G562" s="53"/>
      <c r="H562" s="43" t="s">
        <v>109</v>
      </c>
      <c r="I562" s="43">
        <f t="shared" si="126"/>
        <v>1.0551697530864197E-3</v>
      </c>
      <c r="J562" s="71"/>
      <c r="K562" s="52" t="str">
        <f t="shared" si="125"/>
        <v/>
      </c>
      <c r="L562" s="41"/>
      <c r="M562" s="41"/>
      <c r="N562" s="30"/>
      <c r="O562" s="82"/>
      <c r="P562" s="41"/>
      <c r="Q562" s="41"/>
      <c r="R562" s="41"/>
      <c r="S562" s="50"/>
      <c r="T562" s="41"/>
      <c r="U562" s="85"/>
      <c r="V562" s="30"/>
      <c r="W562" s="30"/>
      <c r="X562" s="30"/>
      <c r="Y562" s="30"/>
      <c r="Z562" s="50"/>
      <c r="AA562" s="41"/>
      <c r="AB562" s="35"/>
      <c r="AC562" s="37"/>
      <c r="AD562" s="41"/>
      <c r="AE562" s="41"/>
      <c r="AF562" s="41"/>
    </row>
    <row r="563" spans="1:32" ht="16" customHeight="1" x14ac:dyDescent="0.2">
      <c r="A563" s="37"/>
      <c r="B563" s="174"/>
      <c r="C563" s="175"/>
      <c r="D563" s="84"/>
      <c r="E563" s="43"/>
      <c r="F563" s="43"/>
      <c r="G563" s="53"/>
      <c r="H563" s="43" t="s">
        <v>125</v>
      </c>
      <c r="I563" s="43">
        <f>I562</f>
        <v>1.0551697530864197E-3</v>
      </c>
      <c r="J563" s="71"/>
      <c r="K563" s="52" t="str">
        <f>IF(J563="","",ABS(I563-J563))</f>
        <v/>
      </c>
      <c r="L563" s="41"/>
      <c r="M563" s="41"/>
      <c r="N563" s="41"/>
      <c r="O563" s="82"/>
      <c r="P563" s="41"/>
      <c r="Q563" s="41"/>
      <c r="R563" s="41"/>
      <c r="S563" s="50"/>
      <c r="T563" s="41"/>
      <c r="U563" s="86"/>
      <c r="V563" s="30"/>
      <c r="W563" s="30"/>
      <c r="X563" s="30"/>
      <c r="Y563" s="30"/>
      <c r="Z563" s="50"/>
      <c r="AA563" s="41"/>
      <c r="AB563" s="44"/>
      <c r="AC563" s="37"/>
      <c r="AD563" s="41"/>
      <c r="AE563" s="41"/>
      <c r="AF563" s="41"/>
    </row>
    <row r="564" spans="1:32" ht="16" customHeight="1" thickBot="1" x14ac:dyDescent="0.25">
      <c r="A564" s="37"/>
      <c r="B564" s="198"/>
      <c r="C564" s="199"/>
      <c r="D564" s="87"/>
      <c r="E564" s="40"/>
      <c r="F564" s="40"/>
      <c r="G564" s="51"/>
      <c r="H564" s="43" t="s">
        <v>151</v>
      </c>
      <c r="I564" s="43">
        <f>I563</f>
        <v>1.0551697530864197E-3</v>
      </c>
      <c r="J564" s="72"/>
      <c r="K564" s="52" t="str">
        <f>IF(J564="","",ABS(I564-J564))</f>
        <v/>
      </c>
      <c r="L564" s="194"/>
      <c r="M564" s="195"/>
      <c r="N564" s="195"/>
      <c r="O564" s="97"/>
      <c r="P564" s="42"/>
      <c r="Q564" s="42"/>
      <c r="R564" s="42"/>
      <c r="S564" s="194"/>
      <c r="T564" s="195"/>
      <c r="U564" s="196"/>
      <c r="V564" s="34"/>
      <c r="W564" s="34"/>
      <c r="X564" s="34"/>
      <c r="Y564" s="34"/>
      <c r="Z564" s="194"/>
      <c r="AA564" s="195"/>
      <c r="AB564" s="197"/>
      <c r="AC564" s="37"/>
      <c r="AD564" s="41"/>
      <c r="AE564" s="41"/>
      <c r="AF564" s="41"/>
    </row>
    <row r="565" spans="1:32" ht="16" customHeight="1" x14ac:dyDescent="0.2">
      <c r="A565" s="37"/>
      <c r="B565" s="172">
        <f>B552+1</f>
        <v>14</v>
      </c>
      <c r="C565" s="173"/>
      <c r="D565" s="178">
        <f>D445+(B565-1)*7</f>
        <v>42745</v>
      </c>
      <c r="E565" s="179"/>
      <c r="F565" s="179"/>
      <c r="G565" s="179"/>
      <c r="H565" s="179"/>
      <c r="I565" s="179"/>
      <c r="J565" s="179"/>
      <c r="K565" s="179"/>
      <c r="L565" s="179"/>
      <c r="M565" s="179"/>
      <c r="N565" s="179"/>
      <c r="O565" s="178">
        <f>O445+(B565-1)*7</f>
        <v>42748</v>
      </c>
      <c r="P565" s="179"/>
      <c r="Q565" s="179"/>
      <c r="R565" s="179"/>
      <c r="S565" s="179"/>
      <c r="T565" s="179"/>
      <c r="U565" s="180"/>
      <c r="V565" s="179">
        <f>V445+(B565-1)*7</f>
        <v>42750</v>
      </c>
      <c r="W565" s="179"/>
      <c r="X565" s="179"/>
      <c r="Y565" s="179"/>
      <c r="Z565" s="179"/>
      <c r="AA565" s="179"/>
      <c r="AB565" s="181"/>
      <c r="AC565" s="37"/>
      <c r="AD565" s="41"/>
      <c r="AE565" s="41"/>
      <c r="AF565" s="41"/>
    </row>
    <row r="566" spans="1:32" ht="16" customHeight="1" x14ac:dyDescent="0.2">
      <c r="A566" s="37"/>
      <c r="B566" s="174"/>
      <c r="C566" s="175"/>
      <c r="D566" s="182" t="s">
        <v>99</v>
      </c>
      <c r="E566" s="183"/>
      <c r="F566" s="183"/>
      <c r="G566" s="184"/>
      <c r="H566" s="185" t="s">
        <v>101</v>
      </c>
      <c r="I566" s="183"/>
      <c r="J566" s="183"/>
      <c r="K566" s="184"/>
      <c r="L566" s="183" t="s">
        <v>100</v>
      </c>
      <c r="M566" s="183"/>
      <c r="N566" s="183"/>
      <c r="O566" s="182" t="s">
        <v>99</v>
      </c>
      <c r="P566" s="183"/>
      <c r="Q566" s="183"/>
      <c r="R566" s="183"/>
      <c r="S566" s="185" t="s">
        <v>100</v>
      </c>
      <c r="T566" s="183"/>
      <c r="U566" s="186"/>
      <c r="V566" s="183" t="s">
        <v>99</v>
      </c>
      <c r="W566" s="183"/>
      <c r="X566" s="183"/>
      <c r="Y566" s="183"/>
      <c r="Z566" s="185" t="s">
        <v>100</v>
      </c>
      <c r="AA566" s="183"/>
      <c r="AB566" s="187"/>
      <c r="AC566" s="37"/>
      <c r="AD566" s="41"/>
      <c r="AE566" s="41"/>
      <c r="AF566" s="41"/>
    </row>
    <row r="567" spans="1:32" ht="16" customHeight="1" x14ac:dyDescent="0.2">
      <c r="A567" s="37"/>
      <c r="B567" s="174"/>
      <c r="C567" s="175"/>
      <c r="D567" s="188" t="s">
        <v>110</v>
      </c>
      <c r="E567" s="189"/>
      <c r="F567" s="189"/>
      <c r="G567" s="190"/>
      <c r="H567" s="43" t="s">
        <v>113</v>
      </c>
      <c r="I567" s="43" t="s">
        <v>114</v>
      </c>
      <c r="J567" s="71" t="s">
        <v>115</v>
      </c>
      <c r="K567" s="53" t="s">
        <v>116</v>
      </c>
      <c r="L567" s="74" t="s">
        <v>96</v>
      </c>
      <c r="M567" s="191"/>
      <c r="N567" s="191"/>
      <c r="O567" s="188" t="s">
        <v>110</v>
      </c>
      <c r="P567" s="189"/>
      <c r="Q567" s="189"/>
      <c r="R567" s="189"/>
      <c r="S567" s="77" t="s">
        <v>96</v>
      </c>
      <c r="T567" s="191"/>
      <c r="U567" s="192"/>
      <c r="V567" s="189" t="s">
        <v>110</v>
      </c>
      <c r="W567" s="189"/>
      <c r="X567" s="189"/>
      <c r="Y567" s="189"/>
      <c r="Z567" s="77" t="s">
        <v>96</v>
      </c>
      <c r="AA567" s="191"/>
      <c r="AB567" s="193"/>
      <c r="AC567" s="37"/>
      <c r="AD567" s="41"/>
      <c r="AE567" s="41"/>
      <c r="AF567" s="41"/>
    </row>
    <row r="568" spans="1:32" ht="16" customHeight="1" x14ac:dyDescent="0.2">
      <c r="A568" s="37"/>
      <c r="B568" s="174"/>
      <c r="C568" s="175"/>
      <c r="D568" s="82" t="s">
        <v>53</v>
      </c>
      <c r="E568" s="41" t="s">
        <v>54</v>
      </c>
      <c r="F568" s="41" t="s">
        <v>90</v>
      </c>
      <c r="G568" s="53" t="s">
        <v>55</v>
      </c>
      <c r="H568" s="43" t="s">
        <v>102</v>
      </c>
      <c r="I568" s="43">
        <f>F569</f>
        <v>2.1566358024691359E-3</v>
      </c>
      <c r="J568" s="71"/>
      <c r="K568" s="52" t="str">
        <f>IF(J568="","",ABS(I568-J568))</f>
        <v/>
      </c>
      <c r="L568" s="75" t="s">
        <v>97</v>
      </c>
      <c r="M568" s="164"/>
      <c r="N568" s="164"/>
      <c r="O568" s="82" t="s">
        <v>54</v>
      </c>
      <c r="P568" s="41" t="s">
        <v>65</v>
      </c>
      <c r="Q568" s="67" t="s">
        <v>117</v>
      </c>
      <c r="R568" s="41" t="s">
        <v>116</v>
      </c>
      <c r="S568" s="78" t="s">
        <v>97</v>
      </c>
      <c r="T568" s="164"/>
      <c r="U568" s="168"/>
      <c r="V568" s="41" t="s">
        <v>54</v>
      </c>
      <c r="W568" s="41" t="s">
        <v>65</v>
      </c>
      <c r="X568" s="67" t="s">
        <v>117</v>
      </c>
      <c r="Y568" s="41" t="s">
        <v>116</v>
      </c>
      <c r="Z568" s="78" t="s">
        <v>97</v>
      </c>
      <c r="AA568" s="164"/>
      <c r="AB568" s="169"/>
      <c r="AC568" s="37"/>
      <c r="AD568" s="41"/>
      <c r="AE568" s="41"/>
      <c r="AF568" s="41"/>
    </row>
    <row r="569" spans="1:32" ht="16" customHeight="1" x14ac:dyDescent="0.2">
      <c r="A569" s="37"/>
      <c r="B569" s="174"/>
      <c r="C569" s="175"/>
      <c r="D569" s="82" t="s">
        <v>56</v>
      </c>
      <c r="E569" s="41">
        <v>800</v>
      </c>
      <c r="F569" s="43">
        <f>F443</f>
        <v>2.1566358024691359E-3</v>
      </c>
      <c r="G569" s="53" t="s">
        <v>127</v>
      </c>
      <c r="H569" s="43" t="s">
        <v>103</v>
      </c>
      <c r="I569" s="43">
        <f>I568</f>
        <v>2.1566358024691359E-3</v>
      </c>
      <c r="J569" s="71"/>
      <c r="K569" s="52" t="str">
        <f t="shared" ref="K569:K575" si="127">IF(J569="","",ABS(I569-J569))</f>
        <v/>
      </c>
      <c r="L569" s="75" t="s">
        <v>98</v>
      </c>
      <c r="M569" s="164"/>
      <c r="N569" s="164"/>
      <c r="O569" s="82" t="s">
        <v>122</v>
      </c>
      <c r="P569" s="43">
        <f>S444</f>
        <v>3.7268518518518519E-3</v>
      </c>
      <c r="Q569" s="71"/>
      <c r="R569" s="76" t="str">
        <f>IF(Q569="","",ABS(P569-Q569))</f>
        <v/>
      </c>
      <c r="S569" s="78" t="s">
        <v>98</v>
      </c>
      <c r="T569" s="164"/>
      <c r="U569" s="168"/>
      <c r="V569" s="41" t="s">
        <v>149</v>
      </c>
      <c r="W569" s="43">
        <f>Z441</f>
        <v>3.3584104938271606E-3</v>
      </c>
      <c r="X569" s="71"/>
      <c r="Y569" s="52" t="str">
        <f>IF(X569="","",ABS(W569-X569))</f>
        <v/>
      </c>
      <c r="Z569" s="78" t="s">
        <v>98</v>
      </c>
      <c r="AA569" s="164"/>
      <c r="AB569" s="169"/>
      <c r="AC569" s="37"/>
      <c r="AD569" s="41"/>
      <c r="AE569" s="41"/>
      <c r="AF569" s="41"/>
    </row>
    <row r="570" spans="1:32" ht="16" customHeight="1" x14ac:dyDescent="0.2">
      <c r="A570" s="37"/>
      <c r="B570" s="174"/>
      <c r="C570" s="175"/>
      <c r="D570" s="165" t="s">
        <v>111</v>
      </c>
      <c r="E570" s="166"/>
      <c r="F570" s="166"/>
      <c r="G570" s="167"/>
      <c r="H570" s="43" t="s">
        <v>104</v>
      </c>
      <c r="I570" s="43">
        <f t="shared" ref="I570:I575" si="128">I569</f>
        <v>2.1566358024691359E-3</v>
      </c>
      <c r="J570" s="71"/>
      <c r="K570" s="52" t="str">
        <f t="shared" si="127"/>
        <v/>
      </c>
      <c r="L570" s="170" t="s">
        <v>112</v>
      </c>
      <c r="M570" s="171"/>
      <c r="N570" s="90"/>
      <c r="O570" s="82" t="s">
        <v>119</v>
      </c>
      <c r="P570" s="43">
        <f>S442</f>
        <v>3.1481481481481482E-3</v>
      </c>
      <c r="Q570" s="71"/>
      <c r="R570" s="76" t="str">
        <f t="shared" ref="R570:R571" si="129">IF(Q570="","",ABS(P570-Q570))</f>
        <v/>
      </c>
      <c r="S570" s="170" t="s">
        <v>112</v>
      </c>
      <c r="T570" s="171"/>
      <c r="U570" s="83"/>
      <c r="V570" s="166" t="s">
        <v>111</v>
      </c>
      <c r="W570" s="166"/>
      <c r="X570" s="166"/>
      <c r="Y570" s="167"/>
      <c r="Z570" s="170" t="s">
        <v>112</v>
      </c>
      <c r="AA570" s="171"/>
      <c r="AB570" s="80"/>
      <c r="AC570" s="37"/>
      <c r="AD570" s="41"/>
      <c r="AE570" s="41"/>
      <c r="AF570" s="41"/>
    </row>
    <row r="571" spans="1:32" ht="16" customHeight="1" x14ac:dyDescent="0.2">
      <c r="A571" s="37"/>
      <c r="B571" s="174"/>
      <c r="C571" s="175"/>
      <c r="D571" s="165"/>
      <c r="E571" s="166"/>
      <c r="F571" s="166"/>
      <c r="G571" s="167"/>
      <c r="H571" s="43" t="s">
        <v>105</v>
      </c>
      <c r="I571" s="43">
        <f t="shared" si="128"/>
        <v>2.1566358024691359E-3</v>
      </c>
      <c r="J571" s="71"/>
      <c r="K571" s="52" t="str">
        <f t="shared" si="127"/>
        <v/>
      </c>
      <c r="L571" s="163" t="s">
        <v>88</v>
      </c>
      <c r="M571" s="164"/>
      <c r="N571" s="164"/>
      <c r="O571" s="82" t="s">
        <v>122</v>
      </c>
      <c r="P571" s="43">
        <f>S444</f>
        <v>3.7268518518518519E-3</v>
      </c>
      <c r="Q571" s="71"/>
      <c r="R571" s="76" t="str">
        <f t="shared" si="129"/>
        <v/>
      </c>
      <c r="S571" s="163" t="s">
        <v>88</v>
      </c>
      <c r="T571" s="164"/>
      <c r="U571" s="168"/>
      <c r="V571" s="30"/>
      <c r="W571" s="30"/>
      <c r="X571" s="30"/>
      <c r="Y571" s="30"/>
      <c r="Z571" s="163" t="s">
        <v>88</v>
      </c>
      <c r="AA571" s="164"/>
      <c r="AB571" s="169"/>
      <c r="AC571" s="37"/>
      <c r="AD571" s="41"/>
      <c r="AE571" s="41"/>
      <c r="AF571" s="41"/>
    </row>
    <row r="572" spans="1:32" ht="16" customHeight="1" x14ac:dyDescent="0.2">
      <c r="A572" s="37"/>
      <c r="B572" s="174"/>
      <c r="C572" s="175"/>
      <c r="D572" s="82"/>
      <c r="E572" s="41"/>
      <c r="F572" s="43"/>
      <c r="G572" s="53"/>
      <c r="H572" s="43" t="s">
        <v>106</v>
      </c>
      <c r="I572" s="43">
        <f t="shared" si="128"/>
        <v>2.1566358024691359E-3</v>
      </c>
      <c r="J572" s="71"/>
      <c r="K572" s="52" t="str">
        <f t="shared" si="127"/>
        <v/>
      </c>
      <c r="L572" s="163"/>
      <c r="M572" s="164"/>
      <c r="N572" s="164"/>
      <c r="O572" s="165" t="s">
        <v>111</v>
      </c>
      <c r="P572" s="166"/>
      <c r="Q572" s="166"/>
      <c r="R572" s="166"/>
      <c r="S572" s="163"/>
      <c r="T572" s="164"/>
      <c r="U572" s="168"/>
      <c r="V572" s="30"/>
      <c r="W572" s="30"/>
      <c r="X572" s="30"/>
      <c r="Y572" s="30"/>
      <c r="Z572" s="163"/>
      <c r="AA572" s="164"/>
      <c r="AB572" s="169"/>
      <c r="AC572" s="37"/>
      <c r="AD572" s="41"/>
      <c r="AE572" s="41"/>
      <c r="AF572" s="41"/>
    </row>
    <row r="573" spans="1:32" ht="16" customHeight="1" x14ac:dyDescent="0.2">
      <c r="A573" s="37"/>
      <c r="B573" s="174"/>
      <c r="C573" s="175"/>
      <c r="D573" s="82"/>
      <c r="E573" s="41"/>
      <c r="F573" s="43"/>
      <c r="G573" s="53"/>
      <c r="H573" s="43" t="s">
        <v>107</v>
      </c>
      <c r="I573" s="43">
        <f t="shared" si="128"/>
        <v>2.1566358024691359E-3</v>
      </c>
      <c r="J573" s="71"/>
      <c r="K573" s="52" t="str">
        <f t="shared" si="127"/>
        <v/>
      </c>
      <c r="L573" s="294"/>
      <c r="M573" s="166"/>
      <c r="N573" s="166"/>
      <c r="O573" s="165"/>
      <c r="P573" s="166"/>
      <c r="Q573" s="166"/>
      <c r="R573" s="166"/>
      <c r="S573" s="294"/>
      <c r="T573" s="166"/>
      <c r="U573" s="295"/>
      <c r="V573" s="30"/>
      <c r="W573" s="30"/>
      <c r="X573" s="30"/>
      <c r="Y573" s="30"/>
      <c r="Z573" s="294"/>
      <c r="AA573" s="166"/>
      <c r="AB573" s="296"/>
      <c r="AC573" s="37"/>
      <c r="AD573" s="41"/>
      <c r="AE573" s="41"/>
      <c r="AF573" s="41"/>
    </row>
    <row r="574" spans="1:32" ht="16" customHeight="1" x14ac:dyDescent="0.2">
      <c r="A574" s="37"/>
      <c r="B574" s="174"/>
      <c r="C574" s="175"/>
      <c r="D574" s="82"/>
      <c r="E574" s="41"/>
      <c r="F574" s="43"/>
      <c r="G574" s="53"/>
      <c r="H574" s="43" t="s">
        <v>108</v>
      </c>
      <c r="I574" s="43">
        <f t="shared" si="128"/>
        <v>2.1566358024691359E-3</v>
      </c>
      <c r="J574" s="71"/>
      <c r="K574" s="52" t="str">
        <f t="shared" ref="K574" si="130">IF(J574="","",ABS(I574-J574))</f>
        <v/>
      </c>
      <c r="L574" s="294"/>
      <c r="M574" s="166"/>
      <c r="N574" s="166"/>
      <c r="O574" s="165"/>
      <c r="P574" s="166"/>
      <c r="Q574" s="166"/>
      <c r="R574" s="166"/>
      <c r="S574" s="294"/>
      <c r="T574" s="166"/>
      <c r="U574" s="295"/>
      <c r="V574" s="30"/>
      <c r="W574" s="30"/>
      <c r="X574" s="30"/>
      <c r="Y574" s="30"/>
      <c r="Z574" s="294"/>
      <c r="AA574" s="166"/>
      <c r="AB574" s="296"/>
      <c r="AC574" s="37"/>
      <c r="AD574" s="41"/>
      <c r="AE574" s="41"/>
      <c r="AF574" s="41"/>
    </row>
    <row r="575" spans="1:32" ht="16" customHeight="1" thickBot="1" x14ac:dyDescent="0.25">
      <c r="A575" s="37"/>
      <c r="B575" s="174"/>
      <c r="C575" s="175"/>
      <c r="D575" s="82"/>
      <c r="E575" s="41"/>
      <c r="F575" s="43"/>
      <c r="G575" s="53"/>
      <c r="H575" s="43" t="s">
        <v>109</v>
      </c>
      <c r="I575" s="43">
        <f t="shared" si="128"/>
        <v>2.1566358024691359E-3</v>
      </c>
      <c r="J575" s="71"/>
      <c r="K575" s="52" t="str">
        <f t="shared" si="127"/>
        <v/>
      </c>
      <c r="L575" s="41"/>
      <c r="M575" s="41"/>
      <c r="N575" s="30"/>
      <c r="O575" s="82"/>
      <c r="P575" s="43"/>
      <c r="Q575" s="43"/>
      <c r="R575" s="52"/>
      <c r="S575" s="50"/>
      <c r="T575" s="41"/>
      <c r="U575" s="85"/>
      <c r="V575" s="30"/>
      <c r="W575" s="30"/>
      <c r="X575" s="30"/>
      <c r="Y575" s="30"/>
      <c r="Z575" s="50"/>
      <c r="AA575" s="41"/>
      <c r="AB575" s="35"/>
      <c r="AC575" s="37"/>
      <c r="AD575" s="41"/>
      <c r="AE575" s="41"/>
      <c r="AF575" s="41"/>
    </row>
    <row r="576" spans="1:32" ht="16" customHeight="1" x14ac:dyDescent="0.2">
      <c r="A576" s="37"/>
      <c r="B576" s="172">
        <f>B565+1</f>
        <v>15</v>
      </c>
      <c r="C576" s="173"/>
      <c r="D576" s="178">
        <f>D445+(B576-1)*7</f>
        <v>42752</v>
      </c>
      <c r="E576" s="179"/>
      <c r="F576" s="179"/>
      <c r="G576" s="179"/>
      <c r="H576" s="179"/>
      <c r="I576" s="179"/>
      <c r="J576" s="179"/>
      <c r="K576" s="179"/>
      <c r="L576" s="179"/>
      <c r="M576" s="179"/>
      <c r="N576" s="179"/>
      <c r="O576" s="178">
        <f>O445+(B576-1)*7</f>
        <v>42755</v>
      </c>
      <c r="P576" s="179"/>
      <c r="Q576" s="179"/>
      <c r="R576" s="179"/>
      <c r="S576" s="179"/>
      <c r="T576" s="179"/>
      <c r="U576" s="180"/>
      <c r="V576" s="179">
        <f>V445+(B576-1)*7</f>
        <v>42757</v>
      </c>
      <c r="W576" s="179"/>
      <c r="X576" s="179"/>
      <c r="Y576" s="179"/>
      <c r="Z576" s="179"/>
      <c r="AA576" s="179"/>
      <c r="AB576" s="181"/>
      <c r="AC576" s="37"/>
      <c r="AD576" s="41"/>
      <c r="AE576" s="41"/>
      <c r="AF576" s="41"/>
    </row>
    <row r="577" spans="1:32" ht="16" customHeight="1" x14ac:dyDescent="0.2">
      <c r="A577" s="37"/>
      <c r="B577" s="174"/>
      <c r="C577" s="175"/>
      <c r="D577" s="182" t="s">
        <v>99</v>
      </c>
      <c r="E577" s="183"/>
      <c r="F577" s="183"/>
      <c r="G577" s="184"/>
      <c r="H577" s="185" t="s">
        <v>101</v>
      </c>
      <c r="I577" s="183"/>
      <c r="J577" s="183"/>
      <c r="K577" s="184"/>
      <c r="L577" s="183" t="s">
        <v>100</v>
      </c>
      <c r="M577" s="183"/>
      <c r="N577" s="183"/>
      <c r="O577" s="182" t="s">
        <v>99</v>
      </c>
      <c r="P577" s="183"/>
      <c r="Q577" s="183"/>
      <c r="R577" s="183"/>
      <c r="S577" s="185" t="s">
        <v>100</v>
      </c>
      <c r="T577" s="183"/>
      <c r="U577" s="186"/>
      <c r="V577" s="183" t="s">
        <v>99</v>
      </c>
      <c r="W577" s="183"/>
      <c r="X577" s="183"/>
      <c r="Y577" s="183"/>
      <c r="Z577" s="185" t="s">
        <v>100</v>
      </c>
      <c r="AA577" s="183"/>
      <c r="AB577" s="187"/>
      <c r="AC577" s="37"/>
      <c r="AD577" s="41"/>
      <c r="AE577" s="41"/>
      <c r="AF577" s="41"/>
    </row>
    <row r="578" spans="1:32" ht="16" customHeight="1" x14ac:dyDescent="0.2">
      <c r="A578" s="37"/>
      <c r="B578" s="174"/>
      <c r="C578" s="175"/>
      <c r="D578" s="188" t="s">
        <v>110</v>
      </c>
      <c r="E578" s="189"/>
      <c r="F578" s="189"/>
      <c r="G578" s="190"/>
      <c r="H578" s="43" t="s">
        <v>113</v>
      </c>
      <c r="I578" s="43" t="s">
        <v>114</v>
      </c>
      <c r="J578" s="71" t="s">
        <v>115</v>
      </c>
      <c r="K578" s="53" t="s">
        <v>116</v>
      </c>
      <c r="L578" s="74" t="s">
        <v>96</v>
      </c>
      <c r="M578" s="191"/>
      <c r="N578" s="191"/>
      <c r="O578" s="188" t="s">
        <v>110</v>
      </c>
      <c r="P578" s="189"/>
      <c r="Q578" s="189"/>
      <c r="R578" s="189"/>
      <c r="S578" s="77" t="s">
        <v>96</v>
      </c>
      <c r="T578" s="191"/>
      <c r="U578" s="192"/>
      <c r="V578" s="189" t="s">
        <v>110</v>
      </c>
      <c r="W578" s="189"/>
      <c r="X578" s="189"/>
      <c r="Y578" s="189"/>
      <c r="Z578" s="77" t="s">
        <v>96</v>
      </c>
      <c r="AA578" s="191"/>
      <c r="AB578" s="193"/>
      <c r="AC578" s="37"/>
      <c r="AD578" s="41"/>
      <c r="AE578" s="41"/>
      <c r="AF578" s="41"/>
    </row>
    <row r="579" spans="1:32" ht="16" customHeight="1" x14ac:dyDescent="0.2">
      <c r="A579" s="37"/>
      <c r="B579" s="174"/>
      <c r="C579" s="175"/>
      <c r="D579" s="82" t="s">
        <v>53</v>
      </c>
      <c r="E579" s="41" t="s">
        <v>54</v>
      </c>
      <c r="F579" s="41" t="s">
        <v>90</v>
      </c>
      <c r="G579" s="53" t="s">
        <v>55</v>
      </c>
      <c r="H579" s="43" t="s">
        <v>102</v>
      </c>
      <c r="I579" s="43">
        <f>F580</f>
        <v>2.7247299382716049E-3</v>
      </c>
      <c r="J579" s="71"/>
      <c r="K579" s="52" t="str">
        <f>IF(J579="","",ABS(I579-J579))</f>
        <v/>
      </c>
      <c r="L579" s="75" t="s">
        <v>97</v>
      </c>
      <c r="M579" s="164"/>
      <c r="N579" s="164"/>
      <c r="O579" s="82" t="s">
        <v>54</v>
      </c>
      <c r="P579" s="41" t="s">
        <v>65</v>
      </c>
      <c r="Q579" s="67" t="s">
        <v>117</v>
      </c>
      <c r="R579" s="41" t="s">
        <v>116</v>
      </c>
      <c r="S579" s="78" t="s">
        <v>97</v>
      </c>
      <c r="T579" s="164"/>
      <c r="U579" s="168"/>
      <c r="V579" s="41" t="s">
        <v>54</v>
      </c>
      <c r="W579" s="41" t="s">
        <v>65</v>
      </c>
      <c r="X579" s="67" t="s">
        <v>117</v>
      </c>
      <c r="Y579" s="41" t="s">
        <v>116</v>
      </c>
      <c r="Z579" s="78" t="s">
        <v>97</v>
      </c>
      <c r="AA579" s="164"/>
      <c r="AB579" s="169"/>
      <c r="AC579" s="37"/>
      <c r="AD579" s="41"/>
      <c r="AE579" s="41"/>
      <c r="AF579" s="41"/>
    </row>
    <row r="580" spans="1:32" ht="16" customHeight="1" x14ac:dyDescent="0.2">
      <c r="A580" s="37"/>
      <c r="B580" s="174"/>
      <c r="C580" s="175"/>
      <c r="D580" s="82" t="s">
        <v>58</v>
      </c>
      <c r="E580" s="41">
        <v>1000</v>
      </c>
      <c r="F580" s="43">
        <f>F444</f>
        <v>2.7247299382716049E-3</v>
      </c>
      <c r="G580" s="53" t="s">
        <v>57</v>
      </c>
      <c r="H580" s="43" t="s">
        <v>103</v>
      </c>
      <c r="I580" s="43">
        <f>I579</f>
        <v>2.7247299382716049E-3</v>
      </c>
      <c r="J580" s="71"/>
      <c r="K580" s="52" t="str">
        <f t="shared" ref="K580:K583" si="131">IF(J580="","",ABS(I580-J580))</f>
        <v/>
      </c>
      <c r="L580" s="75" t="s">
        <v>98</v>
      </c>
      <c r="M580" s="164"/>
      <c r="N580" s="164"/>
      <c r="O580" s="82" t="s">
        <v>118</v>
      </c>
      <c r="P580" s="43">
        <f>S444</f>
        <v>3.7268518518518519E-3</v>
      </c>
      <c r="Q580" s="71"/>
      <c r="R580" s="76" t="str">
        <f>IF(Q580="","",ABS(P580-Q580))</f>
        <v/>
      </c>
      <c r="S580" s="78" t="s">
        <v>98</v>
      </c>
      <c r="T580" s="164"/>
      <c r="U580" s="168"/>
      <c r="V580" s="41" t="s">
        <v>128</v>
      </c>
      <c r="W580" s="43">
        <f>Z441</f>
        <v>3.3584104938271606E-3</v>
      </c>
      <c r="X580" s="71"/>
      <c r="Y580" s="52" t="str">
        <f>IF(X580="","",ABS(W580-X580))</f>
        <v/>
      </c>
      <c r="Z580" s="78" t="s">
        <v>98</v>
      </c>
      <c r="AA580" s="164"/>
      <c r="AB580" s="169"/>
      <c r="AC580" s="37"/>
      <c r="AD580" s="41"/>
      <c r="AE580" s="41"/>
      <c r="AF580" s="41"/>
    </row>
    <row r="581" spans="1:32" ht="16" customHeight="1" x14ac:dyDescent="0.2">
      <c r="A581" s="37"/>
      <c r="B581" s="174"/>
      <c r="C581" s="175"/>
      <c r="D581" s="165" t="s">
        <v>111</v>
      </c>
      <c r="E581" s="166"/>
      <c r="F581" s="166"/>
      <c r="G581" s="167"/>
      <c r="H581" s="43" t="s">
        <v>104</v>
      </c>
      <c r="I581" s="43">
        <f t="shared" ref="I581:I582" si="132">I580</f>
        <v>2.7247299382716049E-3</v>
      </c>
      <c r="J581" s="71"/>
      <c r="K581" s="52" t="str">
        <f t="shared" si="131"/>
        <v/>
      </c>
      <c r="L581" s="170" t="s">
        <v>112</v>
      </c>
      <c r="M581" s="171"/>
      <c r="N581" s="90"/>
      <c r="O581" s="82" t="s">
        <v>120</v>
      </c>
      <c r="P581" s="43">
        <f>S441</f>
        <v>3.0324074074074073E-3</v>
      </c>
      <c r="Q581" s="71"/>
      <c r="R581" s="76" t="str">
        <f t="shared" ref="R581:R582" si="133">IF(Q581="","",ABS(P581-Q581))</f>
        <v/>
      </c>
      <c r="S581" s="170" t="s">
        <v>112</v>
      </c>
      <c r="T581" s="171"/>
      <c r="U581" s="83"/>
      <c r="V581" s="166" t="s">
        <v>111</v>
      </c>
      <c r="W581" s="166"/>
      <c r="X581" s="166"/>
      <c r="Y581" s="167"/>
      <c r="Z581" s="170" t="s">
        <v>112</v>
      </c>
      <c r="AA581" s="171"/>
      <c r="AB581" s="80"/>
      <c r="AC581" s="37"/>
      <c r="AD581" s="41"/>
      <c r="AE581" s="41"/>
      <c r="AF581" s="41"/>
    </row>
    <row r="582" spans="1:32" ht="16" customHeight="1" x14ac:dyDescent="0.2">
      <c r="A582" s="37"/>
      <c r="B582" s="174"/>
      <c r="C582" s="175"/>
      <c r="D582" s="165"/>
      <c r="E582" s="166"/>
      <c r="F582" s="166"/>
      <c r="G582" s="167"/>
      <c r="H582" s="43" t="s">
        <v>105</v>
      </c>
      <c r="I582" s="43">
        <f t="shared" si="132"/>
        <v>2.7247299382716049E-3</v>
      </c>
      <c r="J582" s="71"/>
      <c r="K582" s="52" t="str">
        <f t="shared" si="131"/>
        <v/>
      </c>
      <c r="L582" s="163" t="s">
        <v>88</v>
      </c>
      <c r="M582" s="164"/>
      <c r="N582" s="164"/>
      <c r="O582" s="82" t="s">
        <v>122</v>
      </c>
      <c r="P582" s="43">
        <f>S444</f>
        <v>3.7268518518518519E-3</v>
      </c>
      <c r="Q582" s="71"/>
      <c r="R582" s="76" t="str">
        <f t="shared" si="133"/>
        <v/>
      </c>
      <c r="S582" s="163" t="s">
        <v>88</v>
      </c>
      <c r="T582" s="164"/>
      <c r="U582" s="168"/>
      <c r="V582" s="30"/>
      <c r="W582" s="30"/>
      <c r="X582" s="30"/>
      <c r="Y582" s="30"/>
      <c r="Z582" s="163" t="s">
        <v>88</v>
      </c>
      <c r="AA582" s="164"/>
      <c r="AB582" s="169"/>
      <c r="AC582" s="37"/>
      <c r="AD582" s="41"/>
      <c r="AE582" s="41"/>
      <c r="AF582" s="41"/>
    </row>
    <row r="583" spans="1:32" ht="16" customHeight="1" thickBot="1" x14ac:dyDescent="0.25">
      <c r="A583" s="37"/>
      <c r="B583" s="174"/>
      <c r="C583" s="175"/>
      <c r="D583" s="82"/>
      <c r="E583" s="41"/>
      <c r="F583" s="43"/>
      <c r="G583" s="53"/>
      <c r="H583" s="43" t="s">
        <v>106</v>
      </c>
      <c r="I583" s="43">
        <f>I582</f>
        <v>2.7247299382716049E-3</v>
      </c>
      <c r="J583" s="71"/>
      <c r="K583" s="52" t="str">
        <f t="shared" si="131"/>
        <v/>
      </c>
      <c r="L583" s="163"/>
      <c r="M583" s="164"/>
      <c r="N583" s="164"/>
      <c r="O583" s="165" t="s">
        <v>111</v>
      </c>
      <c r="P583" s="166"/>
      <c r="Q583" s="166"/>
      <c r="R583" s="166"/>
      <c r="S583" s="163"/>
      <c r="T583" s="164"/>
      <c r="U583" s="168"/>
      <c r="V583" s="30"/>
      <c r="W583" s="30"/>
      <c r="X583" s="30"/>
      <c r="Y583" s="30"/>
      <c r="Z583" s="163"/>
      <c r="AA583" s="164"/>
      <c r="AB583" s="169"/>
      <c r="AC583" s="37"/>
      <c r="AD583" s="41"/>
      <c r="AE583" s="41"/>
      <c r="AF583" s="41"/>
    </row>
    <row r="584" spans="1:32" ht="16" customHeight="1" x14ac:dyDescent="0.2">
      <c r="A584" s="37"/>
      <c r="B584" s="172">
        <f>B576+1</f>
        <v>16</v>
      </c>
      <c r="C584" s="173"/>
      <c r="D584" s="178">
        <f>D445+(B584-1)*7</f>
        <v>42759</v>
      </c>
      <c r="E584" s="179"/>
      <c r="F584" s="179"/>
      <c r="G584" s="179"/>
      <c r="H584" s="179"/>
      <c r="I584" s="179"/>
      <c r="J584" s="179"/>
      <c r="K584" s="179"/>
      <c r="L584" s="179"/>
      <c r="M584" s="179"/>
      <c r="N584" s="179"/>
      <c r="O584" s="178">
        <f>O445+(B584-1)*7</f>
        <v>42762</v>
      </c>
      <c r="P584" s="179"/>
      <c r="Q584" s="179"/>
      <c r="R584" s="179"/>
      <c r="S584" s="179"/>
      <c r="T584" s="179"/>
      <c r="U584" s="180"/>
      <c r="V584" s="179">
        <f>V445+(B584-1)*7</f>
        <v>42764</v>
      </c>
      <c r="W584" s="179"/>
      <c r="X584" s="179"/>
      <c r="Y584" s="179"/>
      <c r="Z584" s="179"/>
      <c r="AA584" s="179"/>
      <c r="AB584" s="181"/>
      <c r="AC584" s="37"/>
      <c r="AD584" s="41"/>
      <c r="AE584" s="41"/>
      <c r="AF584" s="41"/>
    </row>
    <row r="585" spans="1:32" ht="16" customHeight="1" x14ac:dyDescent="0.2">
      <c r="A585" s="37"/>
      <c r="B585" s="174"/>
      <c r="C585" s="175"/>
      <c r="D585" s="182" t="s">
        <v>99</v>
      </c>
      <c r="E585" s="183"/>
      <c r="F585" s="183"/>
      <c r="G585" s="184"/>
      <c r="H585" s="185" t="s">
        <v>101</v>
      </c>
      <c r="I585" s="183"/>
      <c r="J585" s="183"/>
      <c r="K585" s="184"/>
      <c r="L585" s="183" t="s">
        <v>100</v>
      </c>
      <c r="M585" s="183"/>
      <c r="N585" s="183"/>
      <c r="O585" s="182" t="s">
        <v>99</v>
      </c>
      <c r="P585" s="183"/>
      <c r="Q585" s="183"/>
      <c r="R585" s="183"/>
      <c r="S585" s="185" t="s">
        <v>100</v>
      </c>
      <c r="T585" s="183"/>
      <c r="U585" s="186"/>
      <c r="V585" s="183" t="s">
        <v>99</v>
      </c>
      <c r="W585" s="183"/>
      <c r="X585" s="183"/>
      <c r="Y585" s="183"/>
      <c r="Z585" s="185" t="s">
        <v>100</v>
      </c>
      <c r="AA585" s="183"/>
      <c r="AB585" s="187"/>
      <c r="AC585" s="37"/>
      <c r="AD585" s="41"/>
      <c r="AE585" s="41"/>
      <c r="AF585" s="41"/>
    </row>
    <row r="586" spans="1:32" ht="16" customHeight="1" x14ac:dyDescent="0.2">
      <c r="A586" s="37"/>
      <c r="B586" s="174"/>
      <c r="C586" s="175"/>
      <c r="D586" s="188" t="s">
        <v>110</v>
      </c>
      <c r="E586" s="189"/>
      <c r="F586" s="189"/>
      <c r="G586" s="190"/>
      <c r="H586" s="43" t="s">
        <v>113</v>
      </c>
      <c r="I586" s="43" t="s">
        <v>114</v>
      </c>
      <c r="J586" s="71" t="s">
        <v>115</v>
      </c>
      <c r="K586" s="53" t="s">
        <v>116</v>
      </c>
      <c r="L586" s="74" t="s">
        <v>96</v>
      </c>
      <c r="M586" s="191"/>
      <c r="N586" s="191"/>
      <c r="O586" s="188" t="s">
        <v>110</v>
      </c>
      <c r="P586" s="189"/>
      <c r="Q586" s="189"/>
      <c r="R586" s="189"/>
      <c r="S586" s="77" t="s">
        <v>96</v>
      </c>
      <c r="T586" s="191"/>
      <c r="U586" s="192"/>
      <c r="V586" s="189" t="s">
        <v>110</v>
      </c>
      <c r="W586" s="189"/>
      <c r="X586" s="189"/>
      <c r="Y586" s="189"/>
      <c r="Z586" s="77" t="s">
        <v>96</v>
      </c>
      <c r="AA586" s="191"/>
      <c r="AB586" s="193"/>
      <c r="AC586" s="37"/>
      <c r="AD586" s="41"/>
      <c r="AE586" s="41"/>
      <c r="AF586" s="41"/>
    </row>
    <row r="587" spans="1:32" ht="16" customHeight="1" x14ac:dyDescent="0.2">
      <c r="A587" s="37"/>
      <c r="B587" s="174"/>
      <c r="C587" s="175"/>
      <c r="D587" s="82" t="s">
        <v>53</v>
      </c>
      <c r="E587" s="41" t="s">
        <v>54</v>
      </c>
      <c r="F587" s="41" t="s">
        <v>90</v>
      </c>
      <c r="G587" s="53" t="s">
        <v>55</v>
      </c>
      <c r="H587" s="43" t="s">
        <v>102</v>
      </c>
      <c r="I587" s="43">
        <f>F588</f>
        <v>1.0551697530864197E-3</v>
      </c>
      <c r="J587" s="71"/>
      <c r="K587" s="52" t="str">
        <f>IF(J587="","",ABS(I587-J587))</f>
        <v/>
      </c>
      <c r="L587" s="75" t="s">
        <v>97</v>
      </c>
      <c r="M587" s="164"/>
      <c r="N587" s="164"/>
      <c r="O587" s="82" t="s">
        <v>54</v>
      </c>
      <c r="P587" s="41" t="s">
        <v>65</v>
      </c>
      <c r="Q587" s="67" t="s">
        <v>117</v>
      </c>
      <c r="R587" s="41" t="s">
        <v>116</v>
      </c>
      <c r="S587" s="78" t="s">
        <v>97</v>
      </c>
      <c r="T587" s="164"/>
      <c r="U587" s="168"/>
      <c r="V587" s="41"/>
      <c r="W587" s="41"/>
      <c r="X587" s="41"/>
      <c r="Y587" s="41"/>
      <c r="Z587" s="78" t="s">
        <v>97</v>
      </c>
      <c r="AA587" s="164"/>
      <c r="AB587" s="169"/>
      <c r="AC587" s="37"/>
      <c r="AD587" s="41"/>
      <c r="AE587" s="41"/>
      <c r="AF587" s="41"/>
    </row>
    <row r="588" spans="1:32" ht="16" customHeight="1" x14ac:dyDescent="0.2">
      <c r="A588" s="37"/>
      <c r="B588" s="174"/>
      <c r="C588" s="175"/>
      <c r="D588" s="82" t="s">
        <v>63</v>
      </c>
      <c r="E588" s="41">
        <v>400</v>
      </c>
      <c r="F588" s="43">
        <f>F441</f>
        <v>1.0551697530864197E-3</v>
      </c>
      <c r="G588" s="53" t="s">
        <v>57</v>
      </c>
      <c r="H588" s="43" t="s">
        <v>103</v>
      </c>
      <c r="I588" s="43">
        <f>I587</f>
        <v>1.0551697530864197E-3</v>
      </c>
      <c r="J588" s="71"/>
      <c r="K588" s="52" t="str">
        <f t="shared" ref="K588:K592" si="134">IF(J588="","",ABS(I588-J588))</f>
        <v/>
      </c>
      <c r="L588" s="75" t="s">
        <v>98</v>
      </c>
      <c r="M588" s="164"/>
      <c r="N588" s="164"/>
      <c r="O588" s="82" t="s">
        <v>120</v>
      </c>
      <c r="P588" s="43">
        <f>Z441</f>
        <v>3.3584104938271606E-3</v>
      </c>
      <c r="Q588" s="71"/>
      <c r="R588" s="52" t="str">
        <f>IF(Q588="","",ABS(P588-Q588))</f>
        <v/>
      </c>
      <c r="S588" s="78" t="s">
        <v>98</v>
      </c>
      <c r="T588" s="164"/>
      <c r="U588" s="168"/>
      <c r="V588" s="230" t="s">
        <v>160</v>
      </c>
      <c r="W588" s="231"/>
      <c r="X588" s="231"/>
      <c r="Y588" s="297"/>
      <c r="Z588" s="78" t="s">
        <v>98</v>
      </c>
      <c r="AA588" s="164"/>
      <c r="AB588" s="169"/>
      <c r="AC588" s="37"/>
      <c r="AD588" s="41"/>
      <c r="AE588" s="41"/>
      <c r="AF588" s="41"/>
    </row>
    <row r="589" spans="1:32" ht="16" customHeight="1" x14ac:dyDescent="0.2">
      <c r="A589" s="37"/>
      <c r="B589" s="174"/>
      <c r="C589" s="175"/>
      <c r="D589" s="165" t="s">
        <v>111</v>
      </c>
      <c r="E589" s="166"/>
      <c r="F589" s="166"/>
      <c r="G589" s="167"/>
      <c r="H589" s="43" t="s">
        <v>104</v>
      </c>
      <c r="I589" s="43">
        <f t="shared" ref="I589:I592" si="135">I588</f>
        <v>1.0551697530864197E-3</v>
      </c>
      <c r="J589" s="71"/>
      <c r="K589" s="52" t="str">
        <f t="shared" si="134"/>
        <v/>
      </c>
      <c r="L589" s="170" t="s">
        <v>112</v>
      </c>
      <c r="M589" s="171"/>
      <c r="N589" s="90"/>
      <c r="O589" s="165" t="s">
        <v>111</v>
      </c>
      <c r="P589" s="166"/>
      <c r="Q589" s="166"/>
      <c r="R589" s="167"/>
      <c r="S589" s="170" t="s">
        <v>112</v>
      </c>
      <c r="T589" s="171"/>
      <c r="U589" s="83"/>
      <c r="V589" s="30"/>
      <c r="W589" s="30"/>
      <c r="X589" s="30"/>
      <c r="Y589" s="102"/>
      <c r="Z589" s="170" t="s">
        <v>112</v>
      </c>
      <c r="AA589" s="171"/>
      <c r="AB589" s="80"/>
      <c r="AC589" s="37"/>
      <c r="AD589" s="41"/>
      <c r="AE589" s="41"/>
      <c r="AF589" s="41"/>
    </row>
    <row r="590" spans="1:32" ht="16" customHeight="1" x14ac:dyDescent="0.2">
      <c r="A590" s="37"/>
      <c r="B590" s="174"/>
      <c r="C590" s="175"/>
      <c r="D590" s="82"/>
      <c r="E590" s="41"/>
      <c r="F590" s="43"/>
      <c r="G590" s="53"/>
      <c r="H590" s="43" t="s">
        <v>105</v>
      </c>
      <c r="I590" s="43">
        <f t="shared" si="135"/>
        <v>1.0551697530864197E-3</v>
      </c>
      <c r="J590" s="71"/>
      <c r="K590" s="52" t="str">
        <f t="shared" si="134"/>
        <v/>
      </c>
      <c r="L590" s="163" t="s">
        <v>88</v>
      </c>
      <c r="M590" s="164"/>
      <c r="N590" s="164"/>
      <c r="O590" s="82"/>
      <c r="P590" s="43"/>
      <c r="Q590" s="41"/>
      <c r="R590" s="52"/>
      <c r="S590" s="163" t="s">
        <v>88</v>
      </c>
      <c r="T590" s="164"/>
      <c r="U590" s="168"/>
      <c r="V590" s="166" t="s">
        <v>111</v>
      </c>
      <c r="W590" s="166"/>
      <c r="X590" s="166"/>
      <c r="Y590" s="167"/>
      <c r="Z590" s="163" t="s">
        <v>88</v>
      </c>
      <c r="AA590" s="164"/>
      <c r="AB590" s="169"/>
      <c r="AC590" s="37"/>
      <c r="AD590" s="41"/>
      <c r="AE590" s="41"/>
      <c r="AF590" s="41"/>
    </row>
    <row r="591" spans="1:32" ht="16" customHeight="1" x14ac:dyDescent="0.2">
      <c r="A591" s="37"/>
      <c r="B591" s="174"/>
      <c r="C591" s="175"/>
      <c r="D591" s="82"/>
      <c r="E591" s="41"/>
      <c r="F591" s="43"/>
      <c r="G591" s="53"/>
      <c r="H591" s="43" t="s">
        <v>106</v>
      </c>
      <c r="I591" s="43">
        <f t="shared" si="135"/>
        <v>1.0551697530864197E-3</v>
      </c>
      <c r="J591" s="71"/>
      <c r="K591" s="52" t="str">
        <f t="shared" si="134"/>
        <v/>
      </c>
      <c r="L591" s="163"/>
      <c r="M591" s="164"/>
      <c r="N591" s="164"/>
      <c r="O591" s="165"/>
      <c r="P591" s="166"/>
      <c r="Q591" s="166"/>
      <c r="R591" s="167"/>
      <c r="S591" s="163"/>
      <c r="T591" s="164"/>
      <c r="U591" s="168"/>
      <c r="V591" s="30"/>
      <c r="W591" s="30"/>
      <c r="X591" s="30"/>
      <c r="Y591" s="30"/>
      <c r="Z591" s="163"/>
      <c r="AA591" s="164"/>
      <c r="AB591" s="169"/>
      <c r="AC591" s="37"/>
      <c r="AD591" s="41"/>
      <c r="AE591" s="41"/>
      <c r="AF591" s="41"/>
    </row>
    <row r="592" spans="1:32" ht="16" customHeight="1" thickBot="1" x14ac:dyDescent="0.25">
      <c r="A592" s="37"/>
      <c r="B592" s="176"/>
      <c r="C592" s="177"/>
      <c r="D592" s="88"/>
      <c r="E592" s="45"/>
      <c r="F592" s="46"/>
      <c r="G592" s="55"/>
      <c r="H592" s="46" t="s">
        <v>107</v>
      </c>
      <c r="I592" s="46">
        <f t="shared" si="135"/>
        <v>1.0551697530864197E-3</v>
      </c>
      <c r="J592" s="73"/>
      <c r="K592" s="56" t="str">
        <f t="shared" si="134"/>
        <v/>
      </c>
      <c r="L592" s="45"/>
      <c r="M592" s="45"/>
      <c r="N592" s="58"/>
      <c r="O592" s="88"/>
      <c r="P592" s="45"/>
      <c r="Q592" s="45"/>
      <c r="R592" s="45"/>
      <c r="S592" s="57"/>
      <c r="T592" s="45"/>
      <c r="U592" s="89"/>
      <c r="V592" s="58"/>
      <c r="W592" s="58"/>
      <c r="X592" s="58"/>
      <c r="Y592" s="58"/>
      <c r="Z592" s="57"/>
      <c r="AA592" s="45"/>
      <c r="AB592" s="59"/>
      <c r="AC592" s="37"/>
      <c r="AD592" s="41"/>
      <c r="AE592" s="41"/>
      <c r="AF592" s="41"/>
    </row>
    <row r="593" spans="1:32" ht="17" thickTop="1" thickBot="1" x14ac:dyDescent="0.25">
      <c r="A593" s="37"/>
      <c r="B593" s="37"/>
      <c r="C593" s="37"/>
      <c r="D593" s="37"/>
      <c r="E593" s="37"/>
      <c r="F593" s="37"/>
      <c r="G593" s="37"/>
      <c r="H593" s="37"/>
      <c r="I593" s="37"/>
      <c r="J593" s="37"/>
      <c r="K593" s="37"/>
      <c r="L593" s="37"/>
      <c r="M593" s="37"/>
      <c r="N593" s="37"/>
      <c r="O593" s="37"/>
      <c r="P593" s="37"/>
      <c r="Q593" s="37"/>
      <c r="R593" s="37"/>
      <c r="S593" s="37"/>
      <c r="T593" s="37"/>
      <c r="U593" s="37"/>
      <c r="V593" s="37"/>
      <c r="W593" s="37"/>
      <c r="X593" s="37"/>
      <c r="Y593" s="37"/>
      <c r="Z593" s="37"/>
      <c r="AA593" s="37"/>
      <c r="AB593" s="37"/>
      <c r="AC593" s="37"/>
      <c r="AD593" s="41"/>
      <c r="AE593" s="41"/>
      <c r="AF593" s="41"/>
    </row>
    <row r="594" spans="1:32" ht="23.25" customHeight="1" thickTop="1" x14ac:dyDescent="0.2">
      <c r="A594" s="37"/>
      <c r="B594" s="242" t="s">
        <v>81</v>
      </c>
      <c r="C594" s="243"/>
      <c r="D594" s="243"/>
      <c r="E594" s="243"/>
      <c r="F594" s="243"/>
      <c r="G594" s="243"/>
      <c r="H594" s="243"/>
      <c r="I594" s="243"/>
      <c r="J594" s="243"/>
      <c r="K594" s="243"/>
      <c r="L594" s="243"/>
      <c r="M594" s="243"/>
      <c r="N594" s="243"/>
      <c r="O594" s="243"/>
      <c r="P594" s="243"/>
      <c r="Q594" s="243"/>
      <c r="R594" s="243"/>
      <c r="S594" s="243"/>
      <c r="T594" s="243"/>
      <c r="U594" s="243"/>
      <c r="V594" s="243"/>
      <c r="W594" s="243"/>
      <c r="X594" s="243"/>
      <c r="Y594" s="243"/>
      <c r="Z594" s="243"/>
      <c r="AA594" s="243"/>
      <c r="AB594" s="244"/>
      <c r="AC594" s="37"/>
      <c r="AD594" s="41"/>
      <c r="AE594" s="41"/>
      <c r="AF594" s="41"/>
    </row>
    <row r="595" spans="1:32" ht="18" customHeight="1" x14ac:dyDescent="0.2">
      <c r="A595" s="37"/>
      <c r="B595" s="33"/>
      <c r="C595" s="47" t="s">
        <v>67</v>
      </c>
      <c r="D595" s="41"/>
      <c r="E595" s="41"/>
      <c r="F595" s="41"/>
      <c r="G595" s="230" t="s">
        <v>7</v>
      </c>
      <c r="H595" s="231"/>
      <c r="I595" s="231"/>
      <c r="J595" s="231"/>
      <c r="K595" s="231"/>
      <c r="L595" s="231"/>
      <c r="M595" s="231"/>
      <c r="N595" s="232"/>
      <c r="O595" s="230" t="s">
        <v>75</v>
      </c>
      <c r="P595" s="231"/>
      <c r="Q595" s="231"/>
      <c r="R595" s="231"/>
      <c r="S595" s="231"/>
      <c r="T595" s="231"/>
      <c r="U595" s="232"/>
      <c r="V595" s="245" t="s">
        <v>51</v>
      </c>
      <c r="W595" s="245"/>
      <c r="X595" s="245"/>
      <c r="Y595" s="245"/>
      <c r="Z595" s="245"/>
      <c r="AA595" s="245"/>
      <c r="AB595" s="246"/>
      <c r="AC595" s="37"/>
      <c r="AD595" s="100"/>
      <c r="AE595" s="100"/>
      <c r="AF595" s="41"/>
    </row>
    <row r="596" spans="1:32" ht="18" customHeight="1" x14ac:dyDescent="0.2">
      <c r="A596" s="37"/>
      <c r="B596" s="32"/>
      <c r="C596" s="47" t="s">
        <v>68</v>
      </c>
      <c r="D596" s="41"/>
      <c r="E596" s="41"/>
      <c r="F596" s="41"/>
      <c r="G596" s="91" t="s">
        <v>72</v>
      </c>
      <c r="H596" s="47"/>
      <c r="I596" s="47"/>
      <c r="J596" s="47"/>
      <c r="K596" s="47"/>
      <c r="L596" s="47"/>
      <c r="M596" s="47"/>
      <c r="N596" s="92"/>
      <c r="O596" s="91" t="s">
        <v>164</v>
      </c>
      <c r="P596" s="47"/>
      <c r="Q596" s="47"/>
      <c r="R596" s="47"/>
      <c r="S596" s="47"/>
      <c r="T596" s="47"/>
      <c r="U596" s="92"/>
      <c r="V596" s="247" t="s">
        <v>166</v>
      </c>
      <c r="W596" s="248"/>
      <c r="X596" s="248"/>
      <c r="Y596" s="248"/>
      <c r="Z596" s="248"/>
      <c r="AA596" s="248"/>
      <c r="AB596" s="249"/>
      <c r="AC596" s="37"/>
      <c r="AD596" s="41"/>
      <c r="AE596" s="41"/>
      <c r="AF596" s="41"/>
    </row>
    <row r="597" spans="1:32" ht="18" customHeight="1" x14ac:dyDescent="0.2">
      <c r="A597" s="37"/>
      <c r="B597" s="32"/>
      <c r="C597" s="47" t="s">
        <v>69</v>
      </c>
      <c r="D597" s="41"/>
      <c r="E597" s="41"/>
      <c r="F597" s="41"/>
      <c r="G597" s="91" t="s">
        <v>73</v>
      </c>
      <c r="H597" s="47"/>
      <c r="I597" s="47"/>
      <c r="J597" s="47"/>
      <c r="K597" s="47"/>
      <c r="L597" s="47"/>
      <c r="M597" s="47"/>
      <c r="N597" s="92"/>
      <c r="O597" s="91" t="s">
        <v>165</v>
      </c>
      <c r="P597" s="47"/>
      <c r="Q597" s="47"/>
      <c r="R597" s="47"/>
      <c r="S597" s="47"/>
      <c r="T597" s="47"/>
      <c r="U597" s="92"/>
      <c r="V597" s="247"/>
      <c r="W597" s="248"/>
      <c r="X597" s="248"/>
      <c r="Y597" s="248"/>
      <c r="Z597" s="248"/>
      <c r="AA597" s="248"/>
      <c r="AB597" s="249"/>
      <c r="AC597" s="37"/>
      <c r="AD597" s="41"/>
      <c r="AE597" s="41"/>
      <c r="AF597" s="41"/>
    </row>
    <row r="598" spans="1:32" ht="18" customHeight="1" x14ac:dyDescent="0.2">
      <c r="A598" s="37"/>
      <c r="B598" s="32"/>
      <c r="C598" s="47" t="s">
        <v>134</v>
      </c>
      <c r="D598" s="41"/>
      <c r="E598" s="41"/>
      <c r="F598" s="41"/>
      <c r="G598" s="91" t="s">
        <v>131</v>
      </c>
      <c r="H598" s="47"/>
      <c r="I598" s="47"/>
      <c r="J598" s="47"/>
      <c r="K598" s="47"/>
      <c r="L598" s="47"/>
      <c r="M598" s="47"/>
      <c r="N598" s="92"/>
      <c r="O598" s="247" t="s">
        <v>163</v>
      </c>
      <c r="P598" s="248"/>
      <c r="Q598" s="248"/>
      <c r="R598" s="248"/>
      <c r="S598" s="248"/>
      <c r="T598" s="248"/>
      <c r="U598" s="250"/>
      <c r="V598" s="47" t="s">
        <v>82</v>
      </c>
      <c r="W598" s="30"/>
      <c r="X598" s="41"/>
      <c r="Y598" s="41"/>
      <c r="Z598" s="41"/>
      <c r="AA598" s="41"/>
      <c r="AB598" s="44"/>
      <c r="AC598" s="37"/>
      <c r="AD598" s="41"/>
      <c r="AE598" s="41"/>
      <c r="AF598" s="41"/>
    </row>
    <row r="599" spans="1:32" ht="18" customHeight="1" x14ac:dyDescent="0.2">
      <c r="A599" s="37"/>
      <c r="B599" s="32"/>
      <c r="C599" s="47" t="s">
        <v>135</v>
      </c>
      <c r="D599" s="41"/>
      <c r="E599" s="41"/>
      <c r="F599" s="41"/>
      <c r="G599" s="91" t="s">
        <v>132</v>
      </c>
      <c r="H599" s="47"/>
      <c r="I599" s="47"/>
      <c r="J599" s="47"/>
      <c r="K599" s="47"/>
      <c r="L599" s="41"/>
      <c r="M599" s="41"/>
      <c r="N599" s="86"/>
      <c r="O599" s="247"/>
      <c r="P599" s="248"/>
      <c r="Q599" s="248"/>
      <c r="R599" s="248"/>
      <c r="S599" s="248"/>
      <c r="T599" s="248"/>
      <c r="U599" s="250"/>
      <c r="V599" s="41"/>
      <c r="W599" s="41"/>
      <c r="X599" s="41"/>
      <c r="Y599" s="41"/>
      <c r="Z599" s="41"/>
      <c r="AA599" s="41"/>
      <c r="AB599" s="44"/>
      <c r="AC599" s="37"/>
      <c r="AD599" s="41"/>
      <c r="AE599" s="41"/>
      <c r="AF599" s="41"/>
    </row>
    <row r="600" spans="1:32" ht="15.75" customHeight="1" x14ac:dyDescent="0.2">
      <c r="A600" s="37"/>
      <c r="B600" s="32"/>
      <c r="C600" s="47" t="s">
        <v>136</v>
      </c>
      <c r="D600" s="41"/>
      <c r="E600" s="41"/>
      <c r="F600" s="41"/>
      <c r="G600" s="82"/>
      <c r="H600" s="41"/>
      <c r="I600" s="41"/>
      <c r="J600" s="41"/>
      <c r="K600" s="41"/>
      <c r="L600" s="41"/>
      <c r="M600" s="41"/>
      <c r="N600" s="86"/>
      <c r="O600" s="82"/>
      <c r="P600" s="41"/>
      <c r="Q600" s="41"/>
      <c r="R600" s="41"/>
      <c r="S600" s="41"/>
      <c r="T600" s="41"/>
      <c r="U600" s="86"/>
      <c r="V600" s="41"/>
      <c r="W600" s="41"/>
      <c r="X600" s="41"/>
      <c r="Y600" s="41"/>
      <c r="Z600" s="41"/>
      <c r="AA600" s="41"/>
      <c r="AB600" s="44"/>
      <c r="AC600" s="37"/>
      <c r="AD600" s="41"/>
      <c r="AE600" s="41"/>
      <c r="AF600" s="41"/>
    </row>
    <row r="601" spans="1:32" ht="15.75" customHeight="1" x14ac:dyDescent="0.2">
      <c r="A601" s="37"/>
      <c r="B601" s="32"/>
      <c r="C601" s="47" t="s">
        <v>70</v>
      </c>
      <c r="D601" s="41"/>
      <c r="E601" s="41"/>
      <c r="F601" s="41"/>
      <c r="G601" s="91" t="s">
        <v>74</v>
      </c>
      <c r="H601" s="47"/>
      <c r="I601" s="47"/>
      <c r="J601" s="47"/>
      <c r="K601" s="47"/>
      <c r="L601" s="47"/>
      <c r="M601" s="47"/>
      <c r="N601" s="92"/>
      <c r="O601" s="91"/>
      <c r="P601" s="41"/>
      <c r="Q601" s="41"/>
      <c r="R601" s="41"/>
      <c r="S601" s="30"/>
      <c r="T601" s="30"/>
      <c r="U601" s="86"/>
      <c r="V601" s="41"/>
      <c r="W601" s="41"/>
      <c r="X601" s="41"/>
      <c r="Y601" s="41"/>
      <c r="Z601" s="41"/>
      <c r="AA601" s="41"/>
      <c r="AB601" s="44"/>
      <c r="AC601" s="37"/>
      <c r="AD601" s="41"/>
      <c r="AE601" s="41"/>
      <c r="AF601" s="41"/>
    </row>
    <row r="602" spans="1:32" ht="15.75" customHeight="1" thickBot="1" x14ac:dyDescent="0.25">
      <c r="A602" s="37"/>
      <c r="B602" s="32"/>
      <c r="C602" s="47" t="s">
        <v>71</v>
      </c>
      <c r="D602" s="41"/>
      <c r="E602" s="41"/>
      <c r="F602" s="41"/>
      <c r="G602" s="93" t="s">
        <v>133</v>
      </c>
      <c r="H602" s="48"/>
      <c r="I602" s="48"/>
      <c r="J602" s="48"/>
      <c r="K602" s="48"/>
      <c r="L602" s="48"/>
      <c r="M602" s="48"/>
      <c r="N602" s="98"/>
      <c r="O602" s="93"/>
      <c r="P602" s="41"/>
      <c r="Q602" s="41"/>
      <c r="R602" s="41"/>
      <c r="S602" s="41"/>
      <c r="T602" s="41"/>
      <c r="U602" s="86"/>
      <c r="V602" s="41"/>
      <c r="W602" s="41"/>
      <c r="X602" s="41"/>
      <c r="Y602" s="41"/>
      <c r="Z602" s="41"/>
      <c r="AA602" s="41"/>
      <c r="AB602" s="44"/>
      <c r="AC602" s="37"/>
      <c r="AD602" s="41"/>
      <c r="AE602" s="41"/>
      <c r="AF602" s="41"/>
    </row>
    <row r="603" spans="1:32" ht="19.5" customHeight="1" thickBot="1" x14ac:dyDescent="0.25">
      <c r="A603" s="37"/>
      <c r="B603" s="251" t="s">
        <v>52</v>
      </c>
      <c r="C603" s="252"/>
      <c r="D603" s="253" t="s">
        <v>7</v>
      </c>
      <c r="E603" s="253"/>
      <c r="F603" s="253"/>
      <c r="G603" s="253"/>
      <c r="H603" s="253"/>
      <c r="I603" s="253"/>
      <c r="J603" s="253"/>
      <c r="K603" s="253"/>
      <c r="L603" s="253"/>
      <c r="M603" s="253"/>
      <c r="N603" s="252"/>
      <c r="O603" s="254" t="s">
        <v>50</v>
      </c>
      <c r="P603" s="253"/>
      <c r="Q603" s="253"/>
      <c r="R603" s="253"/>
      <c r="S603" s="253"/>
      <c r="T603" s="253"/>
      <c r="U603" s="255"/>
      <c r="V603" s="256" t="s">
        <v>51</v>
      </c>
      <c r="W603" s="253"/>
      <c r="X603" s="253"/>
      <c r="Y603" s="253"/>
      <c r="Z603" s="252"/>
      <c r="AA603" s="252"/>
      <c r="AB603" s="257"/>
      <c r="AC603" s="37"/>
      <c r="AD603" s="41"/>
      <c r="AE603" s="41"/>
      <c r="AF603" s="41"/>
    </row>
    <row r="604" spans="1:32" ht="16" customHeight="1" x14ac:dyDescent="0.2">
      <c r="A604" s="37"/>
      <c r="B604" s="235" t="s">
        <v>137</v>
      </c>
      <c r="C604" s="236"/>
      <c r="D604" s="200" t="str">
        <f>B$2</f>
        <v>400 M</v>
      </c>
      <c r="E604" s="201"/>
      <c r="F604" s="158">
        <f>$B$3</f>
        <v>1.0551697530864197E-3</v>
      </c>
      <c r="G604" s="158">
        <f>$B$4</f>
        <v>2.6379243827160492E-3</v>
      </c>
      <c r="H604" s="155"/>
      <c r="I604" s="155"/>
      <c r="J604" s="201" t="str">
        <f>J$2</f>
        <v>1200 M</v>
      </c>
      <c r="K604" s="201"/>
      <c r="L604" s="156">
        <f>$J$3</f>
        <v>3.3135609567901229E-3</v>
      </c>
      <c r="M604" s="158">
        <f>$J$4</f>
        <v>2.7613007973251026E-3</v>
      </c>
      <c r="N604" s="161"/>
      <c r="O604" s="94"/>
      <c r="P604" s="258" t="s">
        <v>91</v>
      </c>
      <c r="Q604" s="258"/>
      <c r="R604" s="258"/>
      <c r="S604" s="259">
        <f>$P$3</f>
        <v>3.0324074074074073E-3</v>
      </c>
      <c r="T604" s="259"/>
      <c r="U604" s="95"/>
      <c r="V604" s="69"/>
      <c r="W604" s="260" t="s">
        <v>94</v>
      </c>
      <c r="X604" s="260"/>
      <c r="Y604" s="260"/>
      <c r="Z604" s="261">
        <f>$X$3</f>
        <v>3.3584104938271606E-3</v>
      </c>
      <c r="AA604" s="261"/>
      <c r="AB604" s="68"/>
      <c r="AC604" s="37"/>
      <c r="AD604" s="41"/>
      <c r="AE604" s="41"/>
      <c r="AF604" s="41"/>
    </row>
    <row r="605" spans="1:32" ht="16" customHeight="1" x14ac:dyDescent="0.2">
      <c r="A605" s="37"/>
      <c r="B605" s="237"/>
      <c r="C605" s="238"/>
      <c r="D605" s="202" t="str">
        <f>D$2</f>
        <v>600 M</v>
      </c>
      <c r="E605" s="203"/>
      <c r="F605" s="158">
        <f>$D$3</f>
        <v>1.6116898148148149E-3</v>
      </c>
      <c r="G605" s="158">
        <f>$D$4</f>
        <v>2.6861496913580252E-3</v>
      </c>
      <c r="H605" s="157"/>
      <c r="I605" s="157"/>
      <c r="J605" s="203" t="str">
        <f>L$2</f>
        <v>1600 M</v>
      </c>
      <c r="K605" s="203"/>
      <c r="L605" s="158">
        <f>$L$3</f>
        <v>4.5076195987654322E-3</v>
      </c>
      <c r="M605" s="158">
        <f>$L$4</f>
        <v>2.8172622492283949E-3</v>
      </c>
      <c r="N605" s="162"/>
      <c r="O605" s="94"/>
      <c r="P605" s="258" t="s">
        <v>92</v>
      </c>
      <c r="Q605" s="258"/>
      <c r="R605" s="258"/>
      <c r="S605" s="261">
        <f>$R$3</f>
        <v>3.1481481481481482E-3</v>
      </c>
      <c r="T605" s="261"/>
      <c r="U605" s="95"/>
      <c r="V605" s="69"/>
      <c r="W605" s="258" t="s">
        <v>95</v>
      </c>
      <c r="X605" s="258"/>
      <c r="Y605" s="258"/>
      <c r="Z605" s="261">
        <f>$Z$3</f>
        <v>3.2040895061728391E-3</v>
      </c>
      <c r="AA605" s="261"/>
      <c r="AB605" s="68"/>
      <c r="AC605" s="37"/>
      <c r="AD605" s="41"/>
      <c r="AE605" s="41"/>
      <c r="AF605" s="41"/>
    </row>
    <row r="606" spans="1:32" ht="16" customHeight="1" x14ac:dyDescent="0.2">
      <c r="A606" s="37"/>
      <c r="B606" s="237"/>
      <c r="C606" s="238"/>
      <c r="D606" s="202" t="str">
        <f>F$2</f>
        <v>800 M</v>
      </c>
      <c r="E606" s="203"/>
      <c r="F606" s="158">
        <f>$F$3</f>
        <v>2.1566358024691359E-3</v>
      </c>
      <c r="G606" s="158">
        <f>$F$4</f>
        <v>2.6957947530864201E-3</v>
      </c>
      <c r="H606" s="157"/>
      <c r="I606" s="157"/>
      <c r="J606" s="203" t="str">
        <f>N$2</f>
        <v>2000 M</v>
      </c>
      <c r="K606" s="203"/>
      <c r="L606" s="158">
        <f>$N$3</f>
        <v>5.6925154320987652E-3</v>
      </c>
      <c r="M606" s="158">
        <f>$N$4</f>
        <v>2.8462577160493826E-3</v>
      </c>
      <c r="N606" s="162"/>
      <c r="O606" s="94"/>
      <c r="P606" s="258" t="s">
        <v>93</v>
      </c>
      <c r="Q606" s="258"/>
      <c r="R606" s="258"/>
      <c r="S606" s="261">
        <f>$T$3</f>
        <v>3.2523148148148147E-3</v>
      </c>
      <c r="T606" s="261"/>
      <c r="U606" s="95"/>
      <c r="V606" s="69"/>
      <c r="W606" s="69"/>
      <c r="X606" s="69"/>
      <c r="Y606" s="69"/>
      <c r="Z606" s="69"/>
      <c r="AA606" s="69"/>
      <c r="AB606" s="68"/>
      <c r="AC606" s="37"/>
      <c r="AD606" s="41"/>
      <c r="AE606" s="41"/>
      <c r="AF606" s="41"/>
    </row>
    <row r="607" spans="1:32" ht="16" customHeight="1" thickBot="1" x14ac:dyDescent="0.25">
      <c r="A607" s="37"/>
      <c r="B607" s="239"/>
      <c r="C607" s="240"/>
      <c r="D607" s="204" t="str">
        <f>H$2</f>
        <v xml:space="preserve">1000 M </v>
      </c>
      <c r="E607" s="205"/>
      <c r="F607" s="160">
        <f>$H$3</f>
        <v>2.7247299382716049E-3</v>
      </c>
      <c r="G607" s="160">
        <f>$H$4</f>
        <v>2.7247299382716049E-3</v>
      </c>
      <c r="H607" s="159"/>
      <c r="I607" s="159"/>
      <c r="J607" s="70"/>
      <c r="K607" s="70"/>
      <c r="L607" s="70"/>
      <c r="M607" s="70"/>
      <c r="N607" s="70"/>
      <c r="O607" s="96"/>
      <c r="P607" s="258" t="s">
        <v>179</v>
      </c>
      <c r="Q607" s="258"/>
      <c r="R607" s="258"/>
      <c r="S607" s="261">
        <f>$V$3</f>
        <v>3.7268518518518519E-3</v>
      </c>
      <c r="T607" s="261"/>
      <c r="U607" s="81"/>
      <c r="V607" s="69"/>
      <c r="W607" s="69"/>
      <c r="X607" s="69"/>
      <c r="Y607" s="69"/>
      <c r="Z607" s="106">
        <f>VLOOKUP($AK$12,$AI$3:$AL$9,4,FALSE)</f>
        <v>42654</v>
      </c>
      <c r="AA607" s="106">
        <f>VLOOKUP($AK$13,$AI$3:$AL$9,4,FALSE)</f>
        <v>42657</v>
      </c>
      <c r="AB607" s="107">
        <f>VLOOKUP($AK$14,$AI$3:$AL$9,4,FALSE)</f>
        <v>42659</v>
      </c>
      <c r="AC607" s="37"/>
      <c r="AD607" s="41"/>
      <c r="AE607" s="41"/>
      <c r="AF607" s="41"/>
    </row>
    <row r="608" spans="1:32" ht="16" customHeight="1" x14ac:dyDescent="0.2">
      <c r="A608" s="37"/>
      <c r="B608" s="172">
        <v>1</v>
      </c>
      <c r="C608" s="173"/>
      <c r="D608" s="178">
        <f>Z607</f>
        <v>42654</v>
      </c>
      <c r="E608" s="179"/>
      <c r="F608" s="179"/>
      <c r="G608" s="179"/>
      <c r="H608" s="179"/>
      <c r="I608" s="179"/>
      <c r="J608" s="179"/>
      <c r="K608" s="179"/>
      <c r="L608" s="179"/>
      <c r="M608" s="179"/>
      <c r="N608" s="179"/>
      <c r="O608" s="178">
        <f>AA607</f>
        <v>42657</v>
      </c>
      <c r="P608" s="179"/>
      <c r="Q608" s="179"/>
      <c r="R608" s="179"/>
      <c r="S608" s="179"/>
      <c r="T608" s="179"/>
      <c r="U608" s="180"/>
      <c r="V608" s="179">
        <f>AB607</f>
        <v>42659</v>
      </c>
      <c r="W608" s="179"/>
      <c r="X608" s="179"/>
      <c r="Y608" s="179"/>
      <c r="Z608" s="179"/>
      <c r="AA608" s="179"/>
      <c r="AB608" s="181"/>
      <c r="AC608" s="37"/>
      <c r="AD608" s="41"/>
      <c r="AE608" s="41"/>
      <c r="AF608" s="41"/>
    </row>
    <row r="609" spans="1:32" ht="16" customHeight="1" x14ac:dyDescent="0.2">
      <c r="A609" s="37"/>
      <c r="B609" s="174"/>
      <c r="C609" s="175"/>
      <c r="D609" s="182" t="s">
        <v>99</v>
      </c>
      <c r="E609" s="183"/>
      <c r="F609" s="183"/>
      <c r="G609" s="184"/>
      <c r="H609" s="185" t="s">
        <v>101</v>
      </c>
      <c r="I609" s="183"/>
      <c r="J609" s="183"/>
      <c r="K609" s="184"/>
      <c r="L609" s="183" t="s">
        <v>100</v>
      </c>
      <c r="M609" s="183"/>
      <c r="N609" s="183"/>
      <c r="O609" s="182" t="s">
        <v>99</v>
      </c>
      <c r="P609" s="183"/>
      <c r="Q609" s="183"/>
      <c r="R609" s="183"/>
      <c r="S609" s="185" t="s">
        <v>100</v>
      </c>
      <c r="T609" s="183"/>
      <c r="U609" s="186"/>
      <c r="V609" s="183" t="s">
        <v>99</v>
      </c>
      <c r="W609" s="183"/>
      <c r="X609" s="183"/>
      <c r="Y609" s="183"/>
      <c r="Z609" s="185" t="s">
        <v>100</v>
      </c>
      <c r="AA609" s="183"/>
      <c r="AB609" s="187"/>
      <c r="AC609" s="104"/>
      <c r="AD609" s="30"/>
      <c r="AE609" s="41"/>
      <c r="AF609" s="41"/>
    </row>
    <row r="610" spans="1:32" ht="16" customHeight="1" x14ac:dyDescent="0.2">
      <c r="A610" s="37"/>
      <c r="B610" s="174"/>
      <c r="C610" s="175"/>
      <c r="D610" s="188" t="s">
        <v>110</v>
      </c>
      <c r="E610" s="189"/>
      <c r="F610" s="189"/>
      <c r="G610" s="190"/>
      <c r="H610" s="43" t="s">
        <v>113</v>
      </c>
      <c r="I610" s="43" t="s">
        <v>114</v>
      </c>
      <c r="J610" s="71" t="s">
        <v>115</v>
      </c>
      <c r="K610" s="53" t="s">
        <v>116</v>
      </c>
      <c r="L610" s="74" t="s">
        <v>96</v>
      </c>
      <c r="M610" s="191"/>
      <c r="N610" s="191"/>
      <c r="O610" s="188" t="s">
        <v>110</v>
      </c>
      <c r="P610" s="189"/>
      <c r="Q610" s="189"/>
      <c r="R610" s="189"/>
      <c r="S610" s="77" t="s">
        <v>96</v>
      </c>
      <c r="T610" s="191"/>
      <c r="U610" s="192"/>
      <c r="V610" s="189" t="s">
        <v>110</v>
      </c>
      <c r="W610" s="189"/>
      <c r="X610" s="189"/>
      <c r="Y610" s="189"/>
      <c r="Z610" s="77" t="s">
        <v>96</v>
      </c>
      <c r="AA610" s="191"/>
      <c r="AB610" s="193"/>
      <c r="AC610" s="37"/>
      <c r="AD610" s="41"/>
      <c r="AE610" s="41"/>
      <c r="AF610" s="41"/>
    </row>
    <row r="611" spans="1:32" ht="16" customHeight="1" x14ac:dyDescent="0.2">
      <c r="A611" s="37"/>
      <c r="B611" s="174"/>
      <c r="C611" s="175"/>
      <c r="D611" s="82" t="s">
        <v>53</v>
      </c>
      <c r="E611" s="41" t="s">
        <v>54</v>
      </c>
      <c r="F611" s="41" t="s">
        <v>90</v>
      </c>
      <c r="G611" s="53" t="s">
        <v>55</v>
      </c>
      <c r="H611" s="43" t="s">
        <v>102</v>
      </c>
      <c r="I611" s="43">
        <f>F612</f>
        <v>4.5076195987654322E-3</v>
      </c>
      <c r="J611" s="71"/>
      <c r="K611" s="52" t="str">
        <f>IF(J611="","",ABS(I611-J611))</f>
        <v/>
      </c>
      <c r="L611" s="75" t="s">
        <v>97</v>
      </c>
      <c r="M611" s="164"/>
      <c r="N611" s="164"/>
      <c r="O611" s="82" t="s">
        <v>54</v>
      </c>
      <c r="P611" s="41" t="s">
        <v>65</v>
      </c>
      <c r="Q611" s="67" t="s">
        <v>117</v>
      </c>
      <c r="R611" s="41" t="s">
        <v>116</v>
      </c>
      <c r="S611" s="78" t="s">
        <v>97</v>
      </c>
      <c r="T611" s="164"/>
      <c r="U611" s="168"/>
      <c r="V611" s="41" t="s">
        <v>54</v>
      </c>
      <c r="W611" s="41" t="s">
        <v>65</v>
      </c>
      <c r="X611" s="67" t="s">
        <v>117</v>
      </c>
      <c r="Y611" s="41" t="s">
        <v>116</v>
      </c>
      <c r="Z611" s="78" t="s">
        <v>97</v>
      </c>
      <c r="AA611" s="164"/>
      <c r="AB611" s="169"/>
      <c r="AC611" s="37"/>
      <c r="AD611" s="41"/>
      <c r="AE611" s="41"/>
      <c r="AF611" s="41"/>
    </row>
    <row r="612" spans="1:32" ht="16" customHeight="1" x14ac:dyDescent="0.2">
      <c r="A612" s="37"/>
      <c r="B612" s="174"/>
      <c r="C612" s="175"/>
      <c r="D612" s="82" t="s">
        <v>64</v>
      </c>
      <c r="E612" s="41">
        <v>1600</v>
      </c>
      <c r="F612" s="43">
        <f>L605</f>
        <v>4.5076195987654322E-3</v>
      </c>
      <c r="G612" s="53" t="s">
        <v>57</v>
      </c>
      <c r="H612" s="43" t="s">
        <v>103</v>
      </c>
      <c r="I612" s="43">
        <f>I611</f>
        <v>4.5076195987654322E-3</v>
      </c>
      <c r="J612" s="71"/>
      <c r="K612" s="52" t="str">
        <f t="shared" ref="K612:K615" si="136">IF(J612="","",ABS(I612-J612))</f>
        <v/>
      </c>
      <c r="L612" s="75" t="s">
        <v>98</v>
      </c>
      <c r="M612" s="164"/>
      <c r="N612" s="164"/>
      <c r="O612" s="82" t="s">
        <v>118</v>
      </c>
      <c r="P612" s="43">
        <f>S607</f>
        <v>3.7268518518518519E-3</v>
      </c>
      <c r="Q612" s="71"/>
      <c r="R612" s="76" t="str">
        <f>IF(Q612="","",ABS(P612-Q612))</f>
        <v/>
      </c>
      <c r="S612" s="78" t="s">
        <v>98</v>
      </c>
      <c r="T612" s="164"/>
      <c r="U612" s="168"/>
      <c r="V612" s="41" t="s">
        <v>149</v>
      </c>
      <c r="W612" s="43">
        <f>Z604+19/86400</f>
        <v>3.578317901234568E-3</v>
      </c>
      <c r="X612" s="71"/>
      <c r="Y612" s="52" t="str">
        <f>IF(X612="","",ABS(W612-X612))</f>
        <v/>
      </c>
      <c r="Z612" s="78" t="s">
        <v>98</v>
      </c>
      <c r="AA612" s="164"/>
      <c r="AB612" s="169"/>
      <c r="AC612" s="37"/>
      <c r="AD612" s="41"/>
      <c r="AE612" s="41"/>
      <c r="AF612" s="41"/>
    </row>
    <row r="613" spans="1:32" ht="16" customHeight="1" x14ac:dyDescent="0.2">
      <c r="A613" s="37"/>
      <c r="B613" s="174"/>
      <c r="C613" s="175"/>
      <c r="D613" s="165" t="s">
        <v>111</v>
      </c>
      <c r="E613" s="166"/>
      <c r="F613" s="166"/>
      <c r="G613" s="167"/>
      <c r="H613" s="43" t="s">
        <v>104</v>
      </c>
      <c r="I613" s="43">
        <f t="shared" ref="I613" si="137">I612</f>
        <v>4.5076195987654322E-3</v>
      </c>
      <c r="J613" s="71"/>
      <c r="K613" s="52" t="str">
        <f t="shared" si="136"/>
        <v/>
      </c>
      <c r="L613" s="170" t="s">
        <v>112</v>
      </c>
      <c r="M613" s="171"/>
      <c r="N613" s="90"/>
      <c r="O613" s="82" t="s">
        <v>118</v>
      </c>
      <c r="P613" s="43">
        <f>S604</f>
        <v>3.0324074074074073E-3</v>
      </c>
      <c r="Q613" s="71"/>
      <c r="R613" s="76" t="str">
        <f t="shared" ref="R613:R614" si="138">IF(Q613="","",ABS(P613-Q613))</f>
        <v/>
      </c>
      <c r="S613" s="170" t="s">
        <v>112</v>
      </c>
      <c r="T613" s="171"/>
      <c r="U613" s="83"/>
      <c r="V613" s="166" t="s">
        <v>111</v>
      </c>
      <c r="W613" s="166"/>
      <c r="X613" s="166"/>
      <c r="Y613" s="167"/>
      <c r="Z613" s="170" t="s">
        <v>112</v>
      </c>
      <c r="AA613" s="171"/>
      <c r="AB613" s="80"/>
      <c r="AC613" s="37"/>
      <c r="AD613" s="41"/>
      <c r="AE613" s="41"/>
      <c r="AF613" s="41"/>
    </row>
    <row r="614" spans="1:32" ht="16" customHeight="1" x14ac:dyDescent="0.2">
      <c r="A614" s="37"/>
      <c r="B614" s="174"/>
      <c r="C614" s="175"/>
      <c r="D614" s="84"/>
      <c r="E614" s="43"/>
      <c r="F614" s="43"/>
      <c r="G614" s="53"/>
      <c r="H614" s="43"/>
      <c r="I614" s="43"/>
      <c r="J614" s="43"/>
      <c r="K614" s="52" t="str">
        <f t="shared" si="136"/>
        <v/>
      </c>
      <c r="L614" s="163" t="s">
        <v>88</v>
      </c>
      <c r="M614" s="164"/>
      <c r="N614" s="164"/>
      <c r="O614" s="82" t="s">
        <v>118</v>
      </c>
      <c r="P614" s="43">
        <f>S607</f>
        <v>3.7268518518518519E-3</v>
      </c>
      <c r="Q614" s="71"/>
      <c r="R614" s="76" t="str">
        <f t="shared" si="138"/>
        <v/>
      </c>
      <c r="S614" s="163" t="s">
        <v>88</v>
      </c>
      <c r="T614" s="164"/>
      <c r="U614" s="168"/>
      <c r="V614" s="30"/>
      <c r="W614" s="30"/>
      <c r="X614" s="30"/>
      <c r="Y614" s="30"/>
      <c r="Z614" s="163" t="s">
        <v>88</v>
      </c>
      <c r="AA614" s="164"/>
      <c r="AB614" s="169"/>
      <c r="AC614" s="37"/>
      <c r="AD614" s="41"/>
      <c r="AE614" s="41"/>
      <c r="AF614" s="41"/>
    </row>
    <row r="615" spans="1:32" ht="16" customHeight="1" thickBot="1" x14ac:dyDescent="0.25">
      <c r="A615" s="37"/>
      <c r="B615" s="174"/>
      <c r="C615" s="175"/>
      <c r="D615" s="84"/>
      <c r="E615" s="43"/>
      <c r="F615" s="43"/>
      <c r="G615" s="53"/>
      <c r="H615" s="43"/>
      <c r="I615" s="43"/>
      <c r="J615" s="43"/>
      <c r="K615" s="52" t="str">
        <f t="shared" si="136"/>
        <v/>
      </c>
      <c r="L615" s="163"/>
      <c r="M615" s="164"/>
      <c r="N615" s="164"/>
      <c r="O615" s="165" t="s">
        <v>111</v>
      </c>
      <c r="P615" s="166"/>
      <c r="Q615" s="166"/>
      <c r="R615" s="166"/>
      <c r="S615" s="163"/>
      <c r="T615" s="164"/>
      <c r="U615" s="168"/>
      <c r="V615" s="30"/>
      <c r="W615" s="30"/>
      <c r="X615" s="30"/>
      <c r="Y615" s="30"/>
      <c r="Z615" s="163"/>
      <c r="AA615" s="164"/>
      <c r="AB615" s="169"/>
      <c r="AC615" s="37"/>
      <c r="AD615" s="41"/>
      <c r="AE615" s="41"/>
      <c r="AF615" s="41"/>
    </row>
    <row r="616" spans="1:32" ht="16" customHeight="1" x14ac:dyDescent="0.2">
      <c r="A616" s="37"/>
      <c r="B616" s="172">
        <f>B608+1</f>
        <v>2</v>
      </c>
      <c r="C616" s="173"/>
      <c r="D616" s="178">
        <f>D608+(B616-1)*7</f>
        <v>42661</v>
      </c>
      <c r="E616" s="179"/>
      <c r="F616" s="179"/>
      <c r="G616" s="179"/>
      <c r="H616" s="179"/>
      <c r="I616" s="179"/>
      <c r="J616" s="179"/>
      <c r="K616" s="179"/>
      <c r="L616" s="179"/>
      <c r="M616" s="179"/>
      <c r="N616" s="179"/>
      <c r="O616" s="178">
        <f>O608+(B616-1)*7</f>
        <v>42664</v>
      </c>
      <c r="P616" s="179"/>
      <c r="Q616" s="179"/>
      <c r="R616" s="179"/>
      <c r="S616" s="179"/>
      <c r="T616" s="179"/>
      <c r="U616" s="180"/>
      <c r="V616" s="179">
        <f>V608+(B616-1)*7</f>
        <v>42666</v>
      </c>
      <c r="W616" s="179"/>
      <c r="X616" s="179"/>
      <c r="Y616" s="179"/>
      <c r="Z616" s="179"/>
      <c r="AA616" s="179"/>
      <c r="AB616" s="181"/>
      <c r="AC616" s="37"/>
      <c r="AD616" s="41"/>
      <c r="AE616" s="41"/>
      <c r="AF616" s="41"/>
    </row>
    <row r="617" spans="1:32" ht="16" customHeight="1" x14ac:dyDescent="0.2">
      <c r="A617" s="37"/>
      <c r="B617" s="174"/>
      <c r="C617" s="175"/>
      <c r="D617" s="182" t="s">
        <v>99</v>
      </c>
      <c r="E617" s="183"/>
      <c r="F617" s="183"/>
      <c r="G617" s="184"/>
      <c r="H617" s="185" t="s">
        <v>101</v>
      </c>
      <c r="I617" s="183"/>
      <c r="J617" s="183"/>
      <c r="K617" s="184"/>
      <c r="L617" s="183" t="s">
        <v>100</v>
      </c>
      <c r="M617" s="183"/>
      <c r="N617" s="183"/>
      <c r="O617" s="182" t="s">
        <v>99</v>
      </c>
      <c r="P617" s="183"/>
      <c r="Q617" s="183"/>
      <c r="R617" s="183"/>
      <c r="S617" s="185" t="s">
        <v>100</v>
      </c>
      <c r="T617" s="183"/>
      <c r="U617" s="186"/>
      <c r="V617" s="183" t="s">
        <v>99</v>
      </c>
      <c r="W617" s="183"/>
      <c r="X617" s="183"/>
      <c r="Y617" s="183"/>
      <c r="Z617" s="185" t="s">
        <v>100</v>
      </c>
      <c r="AA617" s="183"/>
      <c r="AB617" s="187"/>
      <c r="AC617" s="37"/>
      <c r="AD617" s="41"/>
      <c r="AE617" s="41"/>
      <c r="AF617" s="41"/>
    </row>
    <row r="618" spans="1:32" ht="16" customHeight="1" x14ac:dyDescent="0.2">
      <c r="A618" s="37"/>
      <c r="B618" s="174"/>
      <c r="C618" s="175"/>
      <c r="D618" s="188" t="s">
        <v>110</v>
      </c>
      <c r="E618" s="189"/>
      <c r="F618" s="189"/>
      <c r="G618" s="190"/>
      <c r="H618" s="43" t="s">
        <v>113</v>
      </c>
      <c r="I618" s="43" t="s">
        <v>114</v>
      </c>
      <c r="J618" s="71" t="s">
        <v>115</v>
      </c>
      <c r="K618" s="53" t="s">
        <v>116</v>
      </c>
      <c r="L618" s="74" t="s">
        <v>96</v>
      </c>
      <c r="M618" s="191"/>
      <c r="N618" s="191"/>
      <c r="O618" s="188" t="s">
        <v>110</v>
      </c>
      <c r="P618" s="189"/>
      <c r="Q618" s="189"/>
      <c r="R618" s="189"/>
      <c r="S618" s="77" t="s">
        <v>96</v>
      </c>
      <c r="T618" s="191"/>
      <c r="U618" s="192"/>
      <c r="V618" s="189" t="s">
        <v>110</v>
      </c>
      <c r="W618" s="189"/>
      <c r="X618" s="189"/>
      <c r="Y618" s="189"/>
      <c r="Z618" s="77" t="s">
        <v>96</v>
      </c>
      <c r="AA618" s="191"/>
      <c r="AB618" s="193"/>
      <c r="AC618" s="37"/>
      <c r="AD618" s="41"/>
      <c r="AE618" s="41"/>
      <c r="AF618" s="41"/>
    </row>
    <row r="619" spans="1:32" ht="16" customHeight="1" x14ac:dyDescent="0.2">
      <c r="A619" s="37"/>
      <c r="B619" s="174"/>
      <c r="C619" s="175"/>
      <c r="D619" s="82" t="s">
        <v>53</v>
      </c>
      <c r="E619" s="41" t="s">
        <v>54</v>
      </c>
      <c r="F619" s="41" t="s">
        <v>90</v>
      </c>
      <c r="G619" s="53" t="s">
        <v>55</v>
      </c>
      <c r="H619" s="43" t="s">
        <v>102</v>
      </c>
      <c r="I619" s="43">
        <f>F620</f>
        <v>2.1566358024691359E-3</v>
      </c>
      <c r="J619" s="71"/>
      <c r="K619" s="52" t="str">
        <f>IF(J619="","",ABS(I619-J619))</f>
        <v/>
      </c>
      <c r="L619" s="75" t="s">
        <v>97</v>
      </c>
      <c r="M619" s="164"/>
      <c r="N619" s="164"/>
      <c r="O619" s="82" t="s">
        <v>54</v>
      </c>
      <c r="P619" s="41" t="s">
        <v>65</v>
      </c>
      <c r="Q619" s="67" t="s">
        <v>117</v>
      </c>
      <c r="R619" s="41" t="s">
        <v>116</v>
      </c>
      <c r="S619" s="78" t="s">
        <v>97</v>
      </c>
      <c r="T619" s="164"/>
      <c r="U619" s="168"/>
      <c r="V619" s="41" t="s">
        <v>54</v>
      </c>
      <c r="W619" s="41" t="s">
        <v>65</v>
      </c>
      <c r="X619" s="67" t="s">
        <v>117</v>
      </c>
      <c r="Y619" s="41" t="s">
        <v>116</v>
      </c>
      <c r="Z619" s="78" t="s">
        <v>97</v>
      </c>
      <c r="AA619" s="164"/>
      <c r="AB619" s="169"/>
      <c r="AC619" s="37"/>
      <c r="AD619" s="41"/>
      <c r="AE619" s="41"/>
      <c r="AF619" s="41"/>
    </row>
    <row r="620" spans="1:32" ht="16" customHeight="1" x14ac:dyDescent="0.2">
      <c r="A620" s="37"/>
      <c r="B620" s="174"/>
      <c r="C620" s="175"/>
      <c r="D620" s="82" t="s">
        <v>61</v>
      </c>
      <c r="E620" s="41">
        <v>800</v>
      </c>
      <c r="F620" s="43">
        <f>F606</f>
        <v>2.1566358024691359E-3</v>
      </c>
      <c r="G620" s="53" t="s">
        <v>145</v>
      </c>
      <c r="H620" s="43" t="s">
        <v>103</v>
      </c>
      <c r="I620" s="43">
        <f>I619</f>
        <v>2.1566358024691359E-3</v>
      </c>
      <c r="J620" s="71"/>
      <c r="K620" s="52" t="str">
        <f t="shared" ref="K620:K623" si="139">IF(J620="","",ABS(I620-J620))</f>
        <v/>
      </c>
      <c r="L620" s="75" t="s">
        <v>98</v>
      </c>
      <c r="M620" s="164"/>
      <c r="N620" s="164"/>
      <c r="O620" s="82" t="s">
        <v>122</v>
      </c>
      <c r="P620" s="43">
        <f>S607</f>
        <v>3.7268518518518519E-3</v>
      </c>
      <c r="Q620" s="71"/>
      <c r="R620" s="52" t="str">
        <f>IF(Q620="","",ABS(P620-Q620))</f>
        <v/>
      </c>
      <c r="S620" s="78" t="s">
        <v>98</v>
      </c>
      <c r="T620" s="164"/>
      <c r="U620" s="168"/>
      <c r="V620" s="41" t="s">
        <v>157</v>
      </c>
      <c r="W620" s="43">
        <f>Z604+28/86400</f>
        <v>3.6824845679012345E-3</v>
      </c>
      <c r="X620" s="71"/>
      <c r="Y620" s="52" t="str">
        <f>IF(X620="","",ABS(W620-X620))</f>
        <v/>
      </c>
      <c r="Z620" s="78" t="s">
        <v>98</v>
      </c>
      <c r="AA620" s="164"/>
      <c r="AB620" s="169"/>
      <c r="AC620" s="37"/>
      <c r="AD620" s="41"/>
      <c r="AE620" s="41"/>
      <c r="AF620" s="41"/>
    </row>
    <row r="621" spans="1:32" ht="16" customHeight="1" x14ac:dyDescent="0.2">
      <c r="A621" s="37"/>
      <c r="B621" s="174"/>
      <c r="C621" s="175"/>
      <c r="D621" s="165" t="s">
        <v>111</v>
      </c>
      <c r="E621" s="166"/>
      <c r="F621" s="166"/>
      <c r="G621" s="167"/>
      <c r="H621" s="43" t="s">
        <v>104</v>
      </c>
      <c r="I621" s="43">
        <f t="shared" ref="I621:I622" si="140">I620</f>
        <v>2.1566358024691359E-3</v>
      </c>
      <c r="J621" s="71"/>
      <c r="K621" s="52" t="str">
        <f t="shared" si="139"/>
        <v/>
      </c>
      <c r="L621" s="170" t="s">
        <v>112</v>
      </c>
      <c r="M621" s="171"/>
      <c r="N621" s="90"/>
      <c r="O621" s="82" t="s">
        <v>119</v>
      </c>
      <c r="P621" s="43">
        <f>S605</f>
        <v>3.1481481481481482E-3</v>
      </c>
      <c r="Q621" s="71"/>
      <c r="R621" s="52" t="str">
        <f t="shared" ref="R621:R622" si="141">IF(Q621="","",ABS(P621-Q621))</f>
        <v/>
      </c>
      <c r="S621" s="170" t="s">
        <v>112</v>
      </c>
      <c r="T621" s="171"/>
      <c r="U621" s="83"/>
      <c r="V621" s="166" t="s">
        <v>111</v>
      </c>
      <c r="W621" s="166"/>
      <c r="X621" s="166"/>
      <c r="Y621" s="167"/>
      <c r="Z621" s="170" t="s">
        <v>112</v>
      </c>
      <c r="AA621" s="171"/>
      <c r="AB621" s="80"/>
      <c r="AC621" s="37"/>
      <c r="AD621" s="41"/>
      <c r="AE621" s="41"/>
      <c r="AF621" s="41"/>
    </row>
    <row r="622" spans="1:32" ht="16" customHeight="1" x14ac:dyDescent="0.2">
      <c r="A622" s="37"/>
      <c r="B622" s="174"/>
      <c r="C622" s="175"/>
      <c r="D622" s="82"/>
      <c r="E622" s="41"/>
      <c r="F622" s="43"/>
      <c r="G622" s="53"/>
      <c r="H622" s="43" t="s">
        <v>105</v>
      </c>
      <c r="I622" s="43">
        <f t="shared" si="140"/>
        <v>2.1566358024691359E-3</v>
      </c>
      <c r="J622" s="71"/>
      <c r="K622" s="52" t="str">
        <f t="shared" si="139"/>
        <v/>
      </c>
      <c r="L622" s="163" t="s">
        <v>88</v>
      </c>
      <c r="M622" s="164"/>
      <c r="N622" s="164"/>
      <c r="O622" s="82" t="s">
        <v>122</v>
      </c>
      <c r="P622" s="43">
        <f>S607</f>
        <v>3.7268518518518519E-3</v>
      </c>
      <c r="Q622" s="71"/>
      <c r="R622" s="52" t="str">
        <f t="shared" si="141"/>
        <v/>
      </c>
      <c r="S622" s="163" t="s">
        <v>88</v>
      </c>
      <c r="T622" s="164"/>
      <c r="U622" s="168"/>
      <c r="V622" s="30"/>
      <c r="W622" s="30"/>
      <c r="X622" s="30"/>
      <c r="Y622" s="30"/>
      <c r="Z622" s="163" t="s">
        <v>88</v>
      </c>
      <c r="AA622" s="164"/>
      <c r="AB622" s="169"/>
      <c r="AC622" s="37"/>
      <c r="AD622" s="41"/>
      <c r="AE622" s="41"/>
      <c r="AF622" s="41"/>
    </row>
    <row r="623" spans="1:32" ht="16" customHeight="1" thickBot="1" x14ac:dyDescent="0.25">
      <c r="A623" s="37"/>
      <c r="B623" s="174"/>
      <c r="C623" s="175"/>
      <c r="D623" s="82"/>
      <c r="E623" s="41"/>
      <c r="F623" s="43"/>
      <c r="G623" s="53"/>
      <c r="H623" s="43"/>
      <c r="I623" s="43"/>
      <c r="J623" s="43"/>
      <c r="K623" s="52" t="str">
        <f t="shared" si="139"/>
        <v/>
      </c>
      <c r="L623" s="163"/>
      <c r="M623" s="164"/>
      <c r="N623" s="164"/>
      <c r="O623" s="165" t="s">
        <v>111</v>
      </c>
      <c r="P623" s="166"/>
      <c r="Q623" s="166"/>
      <c r="R623" s="167"/>
      <c r="S623" s="163"/>
      <c r="T623" s="164"/>
      <c r="U623" s="168"/>
      <c r="V623" s="30"/>
      <c r="W623" s="30"/>
      <c r="X623" s="30"/>
      <c r="Y623" s="30"/>
      <c r="Z623" s="163"/>
      <c r="AA623" s="164"/>
      <c r="AB623" s="169"/>
      <c r="AC623" s="37"/>
      <c r="AD623" s="41"/>
      <c r="AE623" s="41"/>
      <c r="AF623" s="41"/>
    </row>
    <row r="624" spans="1:32" ht="16" customHeight="1" x14ac:dyDescent="0.2">
      <c r="A624" s="37"/>
      <c r="B624" s="172">
        <f>B616+1</f>
        <v>3</v>
      </c>
      <c r="C624" s="173"/>
      <c r="D624" s="178">
        <f>D608+(B624-1)*7</f>
        <v>42668</v>
      </c>
      <c r="E624" s="179"/>
      <c r="F624" s="179"/>
      <c r="G624" s="179"/>
      <c r="H624" s="179"/>
      <c r="I624" s="179"/>
      <c r="J624" s="179"/>
      <c r="K624" s="179"/>
      <c r="L624" s="179"/>
      <c r="M624" s="179"/>
      <c r="N624" s="179"/>
      <c r="O624" s="178">
        <f>O608+(B624-1)*7</f>
        <v>42671</v>
      </c>
      <c r="P624" s="179"/>
      <c r="Q624" s="179"/>
      <c r="R624" s="179"/>
      <c r="S624" s="179"/>
      <c r="T624" s="179"/>
      <c r="U624" s="180"/>
      <c r="V624" s="179">
        <f>V608+(B624-1)*7</f>
        <v>42673</v>
      </c>
      <c r="W624" s="179"/>
      <c r="X624" s="179"/>
      <c r="Y624" s="179"/>
      <c r="Z624" s="179"/>
      <c r="AA624" s="179"/>
      <c r="AB624" s="181"/>
      <c r="AC624" s="37"/>
      <c r="AD624" s="41"/>
      <c r="AE624" s="41"/>
      <c r="AF624" s="41"/>
    </row>
    <row r="625" spans="1:32" ht="16" customHeight="1" x14ac:dyDescent="0.2">
      <c r="A625" s="37"/>
      <c r="B625" s="174"/>
      <c r="C625" s="175"/>
      <c r="D625" s="182" t="s">
        <v>99</v>
      </c>
      <c r="E625" s="183"/>
      <c r="F625" s="183"/>
      <c r="G625" s="184"/>
      <c r="H625" s="185" t="s">
        <v>101</v>
      </c>
      <c r="I625" s="183"/>
      <c r="J625" s="183"/>
      <c r="K625" s="184"/>
      <c r="L625" s="183" t="s">
        <v>100</v>
      </c>
      <c r="M625" s="183"/>
      <c r="N625" s="183"/>
      <c r="O625" s="182" t="s">
        <v>99</v>
      </c>
      <c r="P625" s="183"/>
      <c r="Q625" s="183"/>
      <c r="R625" s="183"/>
      <c r="S625" s="185" t="s">
        <v>100</v>
      </c>
      <c r="T625" s="183"/>
      <c r="U625" s="186"/>
      <c r="V625" s="183" t="s">
        <v>99</v>
      </c>
      <c r="W625" s="183"/>
      <c r="X625" s="183"/>
      <c r="Y625" s="183"/>
      <c r="Z625" s="185" t="s">
        <v>100</v>
      </c>
      <c r="AA625" s="183"/>
      <c r="AB625" s="187"/>
      <c r="AC625" s="37"/>
      <c r="AD625" s="41"/>
      <c r="AE625" s="41"/>
      <c r="AF625" s="41"/>
    </row>
    <row r="626" spans="1:32" ht="16" customHeight="1" x14ac:dyDescent="0.2">
      <c r="A626" s="37"/>
      <c r="B626" s="174"/>
      <c r="C626" s="175"/>
      <c r="D626" s="188" t="s">
        <v>110</v>
      </c>
      <c r="E626" s="189"/>
      <c r="F626" s="189"/>
      <c r="G626" s="190"/>
      <c r="H626" s="43" t="s">
        <v>113</v>
      </c>
      <c r="I626" s="43" t="s">
        <v>114</v>
      </c>
      <c r="J626" s="71" t="s">
        <v>115</v>
      </c>
      <c r="K626" s="53" t="s">
        <v>116</v>
      </c>
      <c r="L626" s="74" t="s">
        <v>96</v>
      </c>
      <c r="M626" s="191"/>
      <c r="N626" s="191"/>
      <c r="O626" s="188" t="s">
        <v>110</v>
      </c>
      <c r="P626" s="189"/>
      <c r="Q626" s="189"/>
      <c r="R626" s="189"/>
      <c r="S626" s="77" t="s">
        <v>96</v>
      </c>
      <c r="T626" s="191"/>
      <c r="U626" s="192"/>
      <c r="V626" s="189" t="s">
        <v>110</v>
      </c>
      <c r="W626" s="189"/>
      <c r="X626" s="189"/>
      <c r="Y626" s="189"/>
      <c r="Z626" s="77" t="s">
        <v>96</v>
      </c>
      <c r="AA626" s="191"/>
      <c r="AB626" s="193"/>
      <c r="AC626" s="37"/>
      <c r="AD626" s="41"/>
      <c r="AE626" s="41"/>
      <c r="AF626" s="41"/>
    </row>
    <row r="627" spans="1:32" ht="16" customHeight="1" x14ac:dyDescent="0.2">
      <c r="A627" s="37"/>
      <c r="B627" s="174"/>
      <c r="C627" s="175"/>
      <c r="D627" s="82" t="s">
        <v>53</v>
      </c>
      <c r="E627" s="41" t="s">
        <v>54</v>
      </c>
      <c r="F627" s="41" t="s">
        <v>90</v>
      </c>
      <c r="G627" s="53" t="s">
        <v>55</v>
      </c>
      <c r="H627" s="43" t="s">
        <v>102</v>
      </c>
      <c r="I627" s="43">
        <f>F628</f>
        <v>3.3135609567901229E-3</v>
      </c>
      <c r="J627" s="71"/>
      <c r="K627" s="52" t="str">
        <f>IF(J627="","",ABS(I627-J627))</f>
        <v/>
      </c>
      <c r="L627" s="75" t="s">
        <v>97</v>
      </c>
      <c r="M627" s="164"/>
      <c r="N627" s="164"/>
      <c r="O627" s="82" t="s">
        <v>54</v>
      </c>
      <c r="P627" s="41" t="s">
        <v>65</v>
      </c>
      <c r="Q627" s="67" t="s">
        <v>117</v>
      </c>
      <c r="R627" s="41" t="s">
        <v>116</v>
      </c>
      <c r="S627" s="78" t="s">
        <v>97</v>
      </c>
      <c r="T627" s="164"/>
      <c r="U627" s="168"/>
      <c r="V627" s="41" t="s">
        <v>54</v>
      </c>
      <c r="W627" s="41" t="s">
        <v>65</v>
      </c>
      <c r="X627" s="67" t="s">
        <v>117</v>
      </c>
      <c r="Y627" s="41" t="s">
        <v>116</v>
      </c>
      <c r="Z627" s="78" t="s">
        <v>97</v>
      </c>
      <c r="AA627" s="164"/>
      <c r="AB627" s="169"/>
      <c r="AC627" s="37"/>
      <c r="AD627" s="41"/>
      <c r="AE627" s="41"/>
      <c r="AF627" s="41"/>
    </row>
    <row r="628" spans="1:32" ht="16" customHeight="1" x14ac:dyDescent="0.2">
      <c r="A628" s="37"/>
      <c r="B628" s="174"/>
      <c r="C628" s="175"/>
      <c r="D628" s="82" t="s">
        <v>60</v>
      </c>
      <c r="E628" s="41">
        <v>1200</v>
      </c>
      <c r="F628" s="43">
        <f>L604</f>
        <v>3.3135609567901229E-3</v>
      </c>
      <c r="G628" s="53" t="s">
        <v>80</v>
      </c>
      <c r="H628" s="43" t="s">
        <v>103</v>
      </c>
      <c r="I628" s="43">
        <f t="shared" ref="I628:I631" si="142">F629</f>
        <v>2.7247299382716049E-3</v>
      </c>
      <c r="J628" s="71"/>
      <c r="K628" s="52" t="str">
        <f t="shared" ref="K628:K631" si="143">IF(J628="","",ABS(I628-J628))</f>
        <v/>
      </c>
      <c r="L628" s="75" t="s">
        <v>98</v>
      </c>
      <c r="M628" s="164"/>
      <c r="N628" s="164"/>
      <c r="O628" s="82" t="s">
        <v>122</v>
      </c>
      <c r="P628" s="43">
        <f>S607</f>
        <v>3.7268518518518519E-3</v>
      </c>
      <c r="Q628" s="71"/>
      <c r="R628" s="52" t="str">
        <f>IF(Q628="","",ABS(P628-Q628))</f>
        <v/>
      </c>
      <c r="S628" s="78" t="s">
        <v>98</v>
      </c>
      <c r="T628" s="164"/>
      <c r="U628" s="168"/>
      <c r="V628" s="41" t="s">
        <v>161</v>
      </c>
      <c r="W628" s="43">
        <f>Z604+28/86400</f>
        <v>3.6824845679012345E-3</v>
      </c>
      <c r="X628" s="71"/>
      <c r="Y628" s="52" t="str">
        <f>IF(X628="","",ABS(W628-X628))</f>
        <v/>
      </c>
      <c r="Z628" s="78" t="s">
        <v>98</v>
      </c>
      <c r="AA628" s="164"/>
      <c r="AB628" s="169"/>
      <c r="AC628" s="37"/>
      <c r="AD628" s="41"/>
      <c r="AE628" s="41"/>
      <c r="AF628" s="41"/>
    </row>
    <row r="629" spans="1:32" ht="16" customHeight="1" x14ac:dyDescent="0.2">
      <c r="A629" s="37"/>
      <c r="B629" s="174"/>
      <c r="C629" s="175"/>
      <c r="D629" s="82" t="s">
        <v>60</v>
      </c>
      <c r="E629" s="41">
        <v>1000</v>
      </c>
      <c r="F629" s="43">
        <f>F607</f>
        <v>2.7247299382716049E-3</v>
      </c>
      <c r="G629" s="53" t="s">
        <v>80</v>
      </c>
      <c r="H629" s="43" t="s">
        <v>104</v>
      </c>
      <c r="I629" s="43">
        <f t="shared" si="142"/>
        <v>2.1566358024691359E-3</v>
      </c>
      <c r="J629" s="71"/>
      <c r="K629" s="52" t="str">
        <f t="shared" si="143"/>
        <v/>
      </c>
      <c r="L629" s="170" t="s">
        <v>112</v>
      </c>
      <c r="M629" s="171"/>
      <c r="N629" s="90"/>
      <c r="O629" s="82" t="s">
        <v>119</v>
      </c>
      <c r="P629" s="43">
        <f>S606</f>
        <v>3.2523148148148147E-3</v>
      </c>
      <c r="Q629" s="71"/>
      <c r="R629" s="52" t="str">
        <f t="shared" ref="R629:R630" si="144">IF(Q629="","",ABS(P629-Q629))</f>
        <v/>
      </c>
      <c r="S629" s="170" t="s">
        <v>112</v>
      </c>
      <c r="T629" s="171"/>
      <c r="U629" s="83"/>
      <c r="V629" s="166" t="s">
        <v>111</v>
      </c>
      <c r="W629" s="166"/>
      <c r="X629" s="166"/>
      <c r="Y629" s="167"/>
      <c r="Z629" s="170" t="s">
        <v>112</v>
      </c>
      <c r="AA629" s="171"/>
      <c r="AB629" s="80"/>
      <c r="AC629" s="37"/>
      <c r="AD629" s="41"/>
      <c r="AE629" s="41"/>
      <c r="AF629" s="41"/>
    </row>
    <row r="630" spans="1:32" ht="16" customHeight="1" x14ac:dyDescent="0.2">
      <c r="A630" s="37"/>
      <c r="B630" s="174"/>
      <c r="C630" s="175"/>
      <c r="D630" s="82" t="s">
        <v>60</v>
      </c>
      <c r="E630" s="41">
        <v>800</v>
      </c>
      <c r="F630" s="43">
        <f>F606</f>
        <v>2.1566358024691359E-3</v>
      </c>
      <c r="G630" s="53" t="s">
        <v>80</v>
      </c>
      <c r="H630" s="43" t="s">
        <v>105</v>
      </c>
      <c r="I630" s="43">
        <f t="shared" si="142"/>
        <v>1.6116898148148149E-3</v>
      </c>
      <c r="J630" s="71"/>
      <c r="K630" s="52" t="str">
        <f t="shared" si="143"/>
        <v/>
      </c>
      <c r="L630" s="163" t="s">
        <v>88</v>
      </c>
      <c r="M630" s="164"/>
      <c r="N630" s="164"/>
      <c r="O630" s="82" t="s">
        <v>122</v>
      </c>
      <c r="P630" s="43">
        <f>P628</f>
        <v>3.7268518518518519E-3</v>
      </c>
      <c r="Q630" s="71"/>
      <c r="R630" s="52" t="str">
        <f t="shared" si="144"/>
        <v/>
      </c>
      <c r="S630" s="163" t="s">
        <v>88</v>
      </c>
      <c r="T630" s="164"/>
      <c r="U630" s="168"/>
      <c r="V630" s="30"/>
      <c r="W630" s="30"/>
      <c r="X630" s="30"/>
      <c r="Y630" s="30"/>
      <c r="Z630" s="163" t="s">
        <v>88</v>
      </c>
      <c r="AA630" s="164"/>
      <c r="AB630" s="169"/>
      <c r="AC630" s="37"/>
      <c r="AD630" s="41"/>
      <c r="AE630" s="41"/>
      <c r="AF630" s="41"/>
    </row>
    <row r="631" spans="1:32" ht="16" customHeight="1" x14ac:dyDescent="0.2">
      <c r="A631" s="37"/>
      <c r="B631" s="174"/>
      <c r="C631" s="175"/>
      <c r="D631" s="82" t="s">
        <v>60</v>
      </c>
      <c r="E631" s="41">
        <v>600</v>
      </c>
      <c r="F631" s="43">
        <f>F605</f>
        <v>1.6116898148148149E-3</v>
      </c>
      <c r="G631" s="53" t="s">
        <v>80</v>
      </c>
      <c r="H631" s="43" t="s">
        <v>106</v>
      </c>
      <c r="I631" s="43">
        <f t="shared" si="142"/>
        <v>1.0551697530864197E-3</v>
      </c>
      <c r="J631" s="71"/>
      <c r="K631" s="52" t="str">
        <f t="shared" si="143"/>
        <v/>
      </c>
      <c r="L631" s="163"/>
      <c r="M631" s="164"/>
      <c r="N631" s="164"/>
      <c r="O631" s="165" t="s">
        <v>111</v>
      </c>
      <c r="P631" s="166"/>
      <c r="Q631" s="166"/>
      <c r="R631" s="166"/>
      <c r="S631" s="163"/>
      <c r="T631" s="164"/>
      <c r="U631" s="168"/>
      <c r="V631" s="30"/>
      <c r="W631" s="30"/>
      <c r="X631" s="30"/>
      <c r="Y631" s="30"/>
      <c r="Z631" s="163"/>
      <c r="AA631" s="164"/>
      <c r="AB631" s="169"/>
      <c r="AC631" s="37"/>
      <c r="AD631" s="41"/>
      <c r="AE631" s="41"/>
      <c r="AF631" s="41"/>
    </row>
    <row r="632" spans="1:32" ht="16" customHeight="1" x14ac:dyDescent="0.2">
      <c r="A632" s="37"/>
      <c r="B632" s="174"/>
      <c r="C632" s="175"/>
      <c r="D632" s="82" t="s">
        <v>60</v>
      </c>
      <c r="E632" s="41">
        <v>400</v>
      </c>
      <c r="F632" s="43">
        <f>F604</f>
        <v>1.0551697530864197E-3</v>
      </c>
      <c r="G632" s="53" t="s">
        <v>80</v>
      </c>
      <c r="H632" s="43"/>
      <c r="I632" s="43"/>
      <c r="J632" s="43"/>
      <c r="K632" s="52"/>
      <c r="L632" s="50"/>
      <c r="M632" s="41"/>
      <c r="N632" s="85"/>
      <c r="O632" s="82"/>
      <c r="P632" s="41"/>
      <c r="Q632" s="41"/>
      <c r="R632" s="41"/>
      <c r="S632" s="79"/>
      <c r="T632" s="67"/>
      <c r="U632" s="99"/>
      <c r="V632" s="30"/>
      <c r="W632" s="30"/>
      <c r="X632" s="30"/>
      <c r="Y632" s="30"/>
      <c r="Z632" s="79"/>
      <c r="AA632" s="67"/>
      <c r="AB632" s="66"/>
      <c r="AC632" s="37"/>
      <c r="AD632" s="41"/>
      <c r="AE632" s="41"/>
      <c r="AF632" s="41"/>
    </row>
    <row r="633" spans="1:32" ht="16" customHeight="1" thickBot="1" x14ac:dyDescent="0.25">
      <c r="A633" s="37"/>
      <c r="B633" s="174"/>
      <c r="C633" s="175"/>
      <c r="D633" s="165" t="s">
        <v>111</v>
      </c>
      <c r="E633" s="166"/>
      <c r="F633" s="166"/>
      <c r="G633" s="167"/>
      <c r="H633" s="43"/>
      <c r="I633" s="43"/>
      <c r="J633" s="43"/>
      <c r="K633" s="52" t="str">
        <f t="shared" ref="K633" si="145">IF(J633="","",ABS(I633-J633))</f>
        <v/>
      </c>
      <c r="L633" s="41"/>
      <c r="M633" s="41"/>
      <c r="N633" s="30"/>
      <c r="O633" s="82"/>
      <c r="P633" s="43"/>
      <c r="Q633" s="43"/>
      <c r="R633" s="52"/>
      <c r="S633" s="50"/>
      <c r="T633" s="41"/>
      <c r="U633" s="85"/>
      <c r="V633" s="30"/>
      <c r="W633" s="30"/>
      <c r="X633" s="30"/>
      <c r="Y633" s="30"/>
      <c r="Z633" s="50"/>
      <c r="AA633" s="41"/>
      <c r="AB633" s="35"/>
      <c r="AC633" s="37"/>
      <c r="AD633" s="41"/>
      <c r="AE633" s="41"/>
      <c r="AF633" s="41"/>
    </row>
    <row r="634" spans="1:32" ht="16" customHeight="1" x14ac:dyDescent="0.2">
      <c r="A634" s="37"/>
      <c r="B634" s="172">
        <f>B624+1</f>
        <v>4</v>
      </c>
      <c r="C634" s="173"/>
      <c r="D634" s="178">
        <f>D608+(B634-1)*7</f>
        <v>42675</v>
      </c>
      <c r="E634" s="179"/>
      <c r="F634" s="179"/>
      <c r="G634" s="179"/>
      <c r="H634" s="179"/>
      <c r="I634" s="179"/>
      <c r="J634" s="179"/>
      <c r="K634" s="179"/>
      <c r="L634" s="179"/>
      <c r="M634" s="179"/>
      <c r="N634" s="179"/>
      <c r="O634" s="178">
        <f>O608+(B634-1)*7</f>
        <v>42678</v>
      </c>
      <c r="P634" s="179"/>
      <c r="Q634" s="179"/>
      <c r="R634" s="179"/>
      <c r="S634" s="179"/>
      <c r="T634" s="179"/>
      <c r="U634" s="180"/>
      <c r="V634" s="179">
        <f>V608+(B634-1)*7</f>
        <v>42680</v>
      </c>
      <c r="W634" s="179"/>
      <c r="X634" s="179"/>
      <c r="Y634" s="179"/>
      <c r="Z634" s="179"/>
      <c r="AA634" s="179"/>
      <c r="AB634" s="181"/>
      <c r="AC634" s="37"/>
      <c r="AD634" s="41"/>
      <c r="AE634" s="41"/>
      <c r="AF634" s="41"/>
    </row>
    <row r="635" spans="1:32" ht="16" customHeight="1" x14ac:dyDescent="0.2">
      <c r="A635" s="37"/>
      <c r="B635" s="174"/>
      <c r="C635" s="175"/>
      <c r="D635" s="182" t="s">
        <v>99</v>
      </c>
      <c r="E635" s="183"/>
      <c r="F635" s="183"/>
      <c r="G635" s="184"/>
      <c r="H635" s="185" t="s">
        <v>101</v>
      </c>
      <c r="I635" s="183"/>
      <c r="J635" s="183"/>
      <c r="K635" s="184"/>
      <c r="L635" s="183" t="s">
        <v>100</v>
      </c>
      <c r="M635" s="183"/>
      <c r="N635" s="183"/>
      <c r="O635" s="182" t="s">
        <v>99</v>
      </c>
      <c r="P635" s="183"/>
      <c r="Q635" s="183"/>
      <c r="R635" s="183"/>
      <c r="S635" s="185" t="s">
        <v>100</v>
      </c>
      <c r="T635" s="183"/>
      <c r="U635" s="186"/>
      <c r="V635" s="183" t="s">
        <v>99</v>
      </c>
      <c r="W635" s="183"/>
      <c r="X635" s="183"/>
      <c r="Y635" s="183"/>
      <c r="Z635" s="185" t="s">
        <v>100</v>
      </c>
      <c r="AA635" s="183"/>
      <c r="AB635" s="187"/>
      <c r="AC635" s="37"/>
      <c r="AD635" s="41"/>
      <c r="AE635" s="41"/>
      <c r="AF635" s="41"/>
    </row>
    <row r="636" spans="1:32" ht="16" customHeight="1" x14ac:dyDescent="0.2">
      <c r="A636" s="37"/>
      <c r="B636" s="174"/>
      <c r="C636" s="175"/>
      <c r="D636" s="188" t="s">
        <v>110</v>
      </c>
      <c r="E636" s="189"/>
      <c r="F636" s="189"/>
      <c r="G636" s="190"/>
      <c r="H636" s="43" t="s">
        <v>113</v>
      </c>
      <c r="I636" s="43" t="s">
        <v>114</v>
      </c>
      <c r="J636" s="71" t="s">
        <v>115</v>
      </c>
      <c r="K636" s="53" t="s">
        <v>116</v>
      </c>
      <c r="L636" s="74" t="s">
        <v>96</v>
      </c>
      <c r="M636" s="191"/>
      <c r="N636" s="191"/>
      <c r="O636" s="188" t="s">
        <v>110</v>
      </c>
      <c r="P636" s="189"/>
      <c r="Q636" s="189"/>
      <c r="R636" s="189"/>
      <c r="S636" s="77" t="s">
        <v>96</v>
      </c>
      <c r="T636" s="191"/>
      <c r="U636" s="192"/>
      <c r="V636" s="189" t="s">
        <v>110</v>
      </c>
      <c r="W636" s="189"/>
      <c r="X636" s="189"/>
      <c r="Y636" s="189"/>
      <c r="Z636" s="77" t="s">
        <v>96</v>
      </c>
      <c r="AA636" s="191"/>
      <c r="AB636" s="193"/>
      <c r="AC636" s="37"/>
      <c r="AD636" s="41"/>
      <c r="AE636" s="41"/>
      <c r="AF636" s="41"/>
    </row>
    <row r="637" spans="1:32" ht="16" customHeight="1" x14ac:dyDescent="0.2">
      <c r="A637" s="37"/>
      <c r="B637" s="174"/>
      <c r="C637" s="175"/>
      <c r="D637" s="82" t="s">
        <v>53</v>
      </c>
      <c r="E637" s="41" t="s">
        <v>54</v>
      </c>
      <c r="F637" s="41" t="s">
        <v>90</v>
      </c>
      <c r="G637" s="53" t="s">
        <v>55</v>
      </c>
      <c r="H637" s="43" t="s">
        <v>102</v>
      </c>
      <c r="I637" s="43">
        <f>F638</f>
        <v>2.7247299382716049E-3</v>
      </c>
      <c r="J637" s="71"/>
      <c r="K637" s="52" t="str">
        <f>IF(J637="","",ABS(I637-J637))</f>
        <v/>
      </c>
      <c r="L637" s="75" t="s">
        <v>97</v>
      </c>
      <c r="M637" s="164"/>
      <c r="N637" s="164"/>
      <c r="O637" s="82" t="s">
        <v>54</v>
      </c>
      <c r="P637" s="41" t="s">
        <v>65</v>
      </c>
      <c r="Q637" s="67" t="s">
        <v>117</v>
      </c>
      <c r="R637" s="41" t="s">
        <v>116</v>
      </c>
      <c r="S637" s="78" t="s">
        <v>97</v>
      </c>
      <c r="T637" s="164"/>
      <c r="U637" s="168"/>
      <c r="V637" s="41" t="s">
        <v>54</v>
      </c>
      <c r="W637" s="41" t="s">
        <v>65</v>
      </c>
      <c r="X637" s="67" t="s">
        <v>117</v>
      </c>
      <c r="Y637" s="41" t="s">
        <v>116</v>
      </c>
      <c r="Z637" s="78" t="s">
        <v>97</v>
      </c>
      <c r="AA637" s="164"/>
      <c r="AB637" s="169"/>
      <c r="AC637" s="37"/>
      <c r="AD637" s="41"/>
      <c r="AE637" s="41"/>
      <c r="AF637" s="41"/>
    </row>
    <row r="638" spans="1:32" ht="16" customHeight="1" x14ac:dyDescent="0.2">
      <c r="A638" s="37"/>
      <c r="B638" s="174"/>
      <c r="C638" s="175"/>
      <c r="D638" s="82" t="s">
        <v>58</v>
      </c>
      <c r="E638" s="41">
        <v>1000</v>
      </c>
      <c r="F638" s="43">
        <f>F607</f>
        <v>2.7247299382716049E-3</v>
      </c>
      <c r="G638" s="53" t="s">
        <v>57</v>
      </c>
      <c r="H638" s="43" t="s">
        <v>103</v>
      </c>
      <c r="I638" s="43">
        <f>F638</f>
        <v>2.7247299382716049E-3</v>
      </c>
      <c r="J638" s="71"/>
      <c r="K638" s="52" t="str">
        <f t="shared" ref="K638:K641" si="146">IF(J638="","",ABS(I638-J638))</f>
        <v/>
      </c>
      <c r="L638" s="75" t="s">
        <v>98</v>
      </c>
      <c r="M638" s="164"/>
      <c r="N638" s="164"/>
      <c r="O638" s="82" t="s">
        <v>122</v>
      </c>
      <c r="P638" s="43">
        <f>S607</f>
        <v>3.7268518518518519E-3</v>
      </c>
      <c r="Q638" s="71"/>
      <c r="R638" s="76" t="str">
        <f>IF(Q638="","",ABS(P638-Q638))</f>
        <v/>
      </c>
      <c r="S638" s="78" t="s">
        <v>98</v>
      </c>
      <c r="T638" s="164"/>
      <c r="U638" s="168"/>
      <c r="V638" s="41" t="s">
        <v>159</v>
      </c>
      <c r="W638" s="43">
        <f>Z604+37/86400</f>
        <v>3.7866512345679014E-3</v>
      </c>
      <c r="X638" s="71"/>
      <c r="Y638" s="52" t="str">
        <f>IF(X638="","",ABS(W638-X638))</f>
        <v/>
      </c>
      <c r="Z638" s="78" t="s">
        <v>98</v>
      </c>
      <c r="AA638" s="164"/>
      <c r="AB638" s="169"/>
      <c r="AC638" s="37"/>
      <c r="AD638" s="41"/>
      <c r="AE638" s="41"/>
      <c r="AF638" s="41"/>
    </row>
    <row r="639" spans="1:32" ht="16" customHeight="1" x14ac:dyDescent="0.2">
      <c r="A639" s="37"/>
      <c r="B639" s="174"/>
      <c r="C639" s="175"/>
      <c r="D639" s="165" t="s">
        <v>111</v>
      </c>
      <c r="E639" s="166"/>
      <c r="F639" s="166"/>
      <c r="G639" s="167"/>
      <c r="H639" s="43" t="s">
        <v>104</v>
      </c>
      <c r="I639" s="43">
        <f>F638</f>
        <v>2.7247299382716049E-3</v>
      </c>
      <c r="J639" s="71"/>
      <c r="K639" s="52" t="str">
        <f t="shared" si="146"/>
        <v/>
      </c>
      <c r="L639" s="170" t="s">
        <v>112</v>
      </c>
      <c r="M639" s="171"/>
      <c r="N639" s="90"/>
      <c r="O639" s="82" t="s">
        <v>123</v>
      </c>
      <c r="P639" s="43">
        <f>S605</f>
        <v>3.1481481481481482E-3</v>
      </c>
      <c r="Q639" s="71"/>
      <c r="R639" s="76" t="str">
        <f t="shared" ref="R639:R640" si="147">IF(Q639="","",ABS(P639-Q639))</f>
        <v/>
      </c>
      <c r="S639" s="170" t="s">
        <v>112</v>
      </c>
      <c r="T639" s="171"/>
      <c r="U639" s="83"/>
      <c r="V639" s="166" t="s">
        <v>111</v>
      </c>
      <c r="W639" s="166"/>
      <c r="X639" s="166"/>
      <c r="Y639" s="167"/>
      <c r="Z639" s="170" t="s">
        <v>112</v>
      </c>
      <c r="AA639" s="171"/>
      <c r="AB639" s="80"/>
      <c r="AC639" s="37"/>
      <c r="AD639" s="41"/>
      <c r="AE639" s="41"/>
      <c r="AF639" s="41"/>
    </row>
    <row r="640" spans="1:32" ht="16" customHeight="1" x14ac:dyDescent="0.2">
      <c r="A640" s="37"/>
      <c r="B640" s="174"/>
      <c r="C640" s="175"/>
      <c r="D640" s="165"/>
      <c r="E640" s="166"/>
      <c r="F640" s="166"/>
      <c r="G640" s="167"/>
      <c r="H640" s="43" t="s">
        <v>105</v>
      </c>
      <c r="I640" s="43">
        <f>F638</f>
        <v>2.7247299382716049E-3</v>
      </c>
      <c r="J640" s="71"/>
      <c r="K640" s="52" t="str">
        <f t="shared" si="146"/>
        <v/>
      </c>
      <c r="L640" s="163" t="s">
        <v>88</v>
      </c>
      <c r="M640" s="164"/>
      <c r="N640" s="164"/>
      <c r="O640" s="82" t="s">
        <v>122</v>
      </c>
      <c r="P640" s="43">
        <f>S607</f>
        <v>3.7268518518518519E-3</v>
      </c>
      <c r="Q640" s="71"/>
      <c r="R640" s="76" t="str">
        <f t="shared" si="147"/>
        <v/>
      </c>
      <c r="S640" s="163" t="s">
        <v>88</v>
      </c>
      <c r="T640" s="164"/>
      <c r="U640" s="168"/>
      <c r="V640" s="30"/>
      <c r="W640" s="30"/>
      <c r="X640" s="30"/>
      <c r="Y640" s="30"/>
      <c r="Z640" s="163" t="s">
        <v>88</v>
      </c>
      <c r="AA640" s="164"/>
      <c r="AB640" s="169"/>
      <c r="AC640" s="37"/>
      <c r="AD640" s="41"/>
      <c r="AE640" s="41"/>
      <c r="AF640" s="41"/>
    </row>
    <row r="641" spans="1:32" ht="16" customHeight="1" thickBot="1" x14ac:dyDescent="0.25">
      <c r="A641" s="37"/>
      <c r="B641" s="174"/>
      <c r="C641" s="175"/>
      <c r="D641" s="84"/>
      <c r="E641" s="43"/>
      <c r="F641" s="43"/>
      <c r="G641" s="53"/>
      <c r="H641" s="43" t="s">
        <v>106</v>
      </c>
      <c r="I641" s="43">
        <f>I640</f>
        <v>2.7247299382716049E-3</v>
      </c>
      <c r="J641" s="71"/>
      <c r="K641" s="52" t="str">
        <f t="shared" si="146"/>
        <v/>
      </c>
      <c r="L641" s="163"/>
      <c r="M641" s="164"/>
      <c r="N641" s="164"/>
      <c r="O641" s="165" t="s">
        <v>111</v>
      </c>
      <c r="P641" s="166"/>
      <c r="Q641" s="166"/>
      <c r="R641" s="167"/>
      <c r="S641" s="163"/>
      <c r="T641" s="164"/>
      <c r="U641" s="168"/>
      <c r="V641" s="30"/>
      <c r="W641" s="30"/>
      <c r="X641" s="30"/>
      <c r="Y641" s="30"/>
      <c r="Z641" s="163"/>
      <c r="AA641" s="164"/>
      <c r="AB641" s="169"/>
      <c r="AC641" s="37"/>
      <c r="AD641" s="41"/>
      <c r="AE641" s="41"/>
      <c r="AF641" s="41"/>
    </row>
    <row r="642" spans="1:32" ht="16" customHeight="1" x14ac:dyDescent="0.2">
      <c r="A642" s="37"/>
      <c r="B642" s="172">
        <f>B634+1</f>
        <v>5</v>
      </c>
      <c r="C642" s="173"/>
      <c r="D642" s="178">
        <f>D608+(B642-1)*7</f>
        <v>42682</v>
      </c>
      <c r="E642" s="179"/>
      <c r="F642" s="179"/>
      <c r="G642" s="179"/>
      <c r="H642" s="179"/>
      <c r="I642" s="179"/>
      <c r="J642" s="179"/>
      <c r="K642" s="179"/>
      <c r="L642" s="179"/>
      <c r="M642" s="179"/>
      <c r="N642" s="179"/>
      <c r="O642" s="178">
        <f>O608+(B642-1)*7</f>
        <v>42685</v>
      </c>
      <c r="P642" s="179"/>
      <c r="Q642" s="179"/>
      <c r="R642" s="179"/>
      <c r="S642" s="179"/>
      <c r="T642" s="179"/>
      <c r="U642" s="180"/>
      <c r="V642" s="179">
        <f>V608+(B642-1)*7</f>
        <v>42687</v>
      </c>
      <c r="W642" s="179"/>
      <c r="X642" s="179"/>
      <c r="Y642" s="179"/>
      <c r="Z642" s="179"/>
      <c r="AA642" s="179"/>
      <c r="AB642" s="181"/>
      <c r="AC642" s="37"/>
      <c r="AD642" s="41"/>
      <c r="AE642" s="41"/>
      <c r="AF642" s="41"/>
    </row>
    <row r="643" spans="1:32" ht="16" customHeight="1" x14ac:dyDescent="0.2">
      <c r="A643" s="37"/>
      <c r="B643" s="174"/>
      <c r="C643" s="175"/>
      <c r="D643" s="182" t="s">
        <v>99</v>
      </c>
      <c r="E643" s="183"/>
      <c r="F643" s="183"/>
      <c r="G643" s="184"/>
      <c r="H643" s="185" t="s">
        <v>101</v>
      </c>
      <c r="I643" s="183"/>
      <c r="J643" s="183"/>
      <c r="K643" s="184"/>
      <c r="L643" s="183" t="s">
        <v>100</v>
      </c>
      <c r="M643" s="183"/>
      <c r="N643" s="183"/>
      <c r="O643" s="182" t="s">
        <v>99</v>
      </c>
      <c r="P643" s="183"/>
      <c r="Q643" s="183"/>
      <c r="R643" s="183"/>
      <c r="S643" s="185" t="s">
        <v>100</v>
      </c>
      <c r="T643" s="183"/>
      <c r="U643" s="186"/>
      <c r="V643" s="183" t="s">
        <v>99</v>
      </c>
      <c r="W643" s="183"/>
      <c r="X643" s="183"/>
      <c r="Y643" s="183"/>
      <c r="Z643" s="185" t="s">
        <v>100</v>
      </c>
      <c r="AA643" s="183"/>
      <c r="AB643" s="187"/>
      <c r="AC643" s="37"/>
      <c r="AD643" s="41"/>
      <c r="AE643" s="41"/>
      <c r="AF643" s="41"/>
    </row>
    <row r="644" spans="1:32" ht="16" customHeight="1" x14ac:dyDescent="0.2">
      <c r="A644" s="37"/>
      <c r="B644" s="174"/>
      <c r="C644" s="175"/>
      <c r="D644" s="188" t="s">
        <v>110</v>
      </c>
      <c r="E644" s="189"/>
      <c r="F644" s="189"/>
      <c r="G644" s="190"/>
      <c r="H644" s="43" t="s">
        <v>113</v>
      </c>
      <c r="I644" s="43" t="s">
        <v>114</v>
      </c>
      <c r="J644" s="71" t="s">
        <v>115</v>
      </c>
      <c r="K644" s="53" t="s">
        <v>116</v>
      </c>
      <c r="L644" s="74" t="s">
        <v>96</v>
      </c>
      <c r="M644" s="191"/>
      <c r="N644" s="191"/>
      <c r="O644" s="188" t="s">
        <v>110</v>
      </c>
      <c r="P644" s="189"/>
      <c r="Q644" s="189"/>
      <c r="R644" s="189"/>
      <c r="S644" s="77" t="s">
        <v>96</v>
      </c>
      <c r="T644" s="191"/>
      <c r="U644" s="192"/>
      <c r="V644" s="189" t="s">
        <v>110</v>
      </c>
      <c r="W644" s="189"/>
      <c r="X644" s="189"/>
      <c r="Y644" s="189"/>
      <c r="Z644" s="77" t="s">
        <v>96</v>
      </c>
      <c r="AA644" s="191"/>
      <c r="AB644" s="193"/>
      <c r="AC644" s="37"/>
      <c r="AD644" s="41"/>
      <c r="AE644" s="41"/>
      <c r="AF644" s="41"/>
    </row>
    <row r="645" spans="1:32" ht="16" customHeight="1" x14ac:dyDescent="0.2">
      <c r="A645" s="37"/>
      <c r="B645" s="174"/>
      <c r="C645" s="175"/>
      <c r="D645" s="82" t="s">
        <v>53</v>
      </c>
      <c r="E645" s="41" t="s">
        <v>54</v>
      </c>
      <c r="F645" s="41" t="s">
        <v>90</v>
      </c>
      <c r="G645" s="53" t="s">
        <v>55</v>
      </c>
      <c r="H645" s="43" t="s">
        <v>102</v>
      </c>
      <c r="I645" s="43">
        <f>F646</f>
        <v>4.5076195987654322E-3</v>
      </c>
      <c r="J645" s="71"/>
      <c r="K645" s="52" t="str">
        <f>IF(J645="","",ABS(I645-J645))</f>
        <v/>
      </c>
      <c r="L645" s="75" t="s">
        <v>97</v>
      </c>
      <c r="M645" s="164"/>
      <c r="N645" s="164"/>
      <c r="O645" s="82" t="s">
        <v>54</v>
      </c>
      <c r="P645" s="41" t="s">
        <v>65</v>
      </c>
      <c r="Q645" s="67" t="s">
        <v>117</v>
      </c>
      <c r="R645" s="41" t="s">
        <v>116</v>
      </c>
      <c r="S645" s="78" t="s">
        <v>97</v>
      </c>
      <c r="T645" s="164"/>
      <c r="U645" s="168"/>
      <c r="V645" s="41" t="s">
        <v>54</v>
      </c>
      <c r="W645" s="41" t="s">
        <v>65</v>
      </c>
      <c r="X645" s="67" t="s">
        <v>117</v>
      </c>
      <c r="Y645" s="41" t="s">
        <v>116</v>
      </c>
      <c r="Z645" s="78" t="s">
        <v>97</v>
      </c>
      <c r="AA645" s="164"/>
      <c r="AB645" s="169"/>
      <c r="AC645" s="37"/>
      <c r="AD645" s="41"/>
      <c r="AE645" s="41"/>
      <c r="AF645" s="41"/>
    </row>
    <row r="646" spans="1:32" ht="16" customHeight="1" x14ac:dyDescent="0.2">
      <c r="A646" s="37"/>
      <c r="B646" s="174"/>
      <c r="C646" s="175"/>
      <c r="D646" s="82" t="s">
        <v>64</v>
      </c>
      <c r="E646" s="41">
        <v>1600</v>
      </c>
      <c r="F646" s="43">
        <f>L605</f>
        <v>4.5076195987654322E-3</v>
      </c>
      <c r="G646" s="53" t="s">
        <v>57</v>
      </c>
      <c r="H646" s="43" t="s">
        <v>103</v>
      </c>
      <c r="I646" s="43">
        <f>F646</f>
        <v>4.5076195987654322E-3</v>
      </c>
      <c r="J646" s="71"/>
      <c r="K646" s="52" t="str">
        <f t="shared" ref="K646:K649" si="148">IF(J646="","",ABS(I646-J646))</f>
        <v/>
      </c>
      <c r="L646" s="75" t="s">
        <v>98</v>
      </c>
      <c r="M646" s="164"/>
      <c r="N646" s="164"/>
      <c r="O646" s="82" t="s">
        <v>118</v>
      </c>
      <c r="P646" s="43">
        <f>S607</f>
        <v>3.7268518518518519E-3</v>
      </c>
      <c r="Q646" s="71"/>
      <c r="R646" s="52" t="str">
        <f>IF(Q646="","",ABS(P646-Q646))</f>
        <v/>
      </c>
      <c r="S646" s="78" t="s">
        <v>98</v>
      </c>
      <c r="T646" s="164"/>
      <c r="U646" s="168"/>
      <c r="V646" s="41" t="s">
        <v>162</v>
      </c>
      <c r="W646" s="43">
        <f>Z604+28/86400</f>
        <v>3.6824845679012345E-3</v>
      </c>
      <c r="X646" s="71"/>
      <c r="Y646" s="52" t="str">
        <f>IF(X646="","",ABS(W646-X646))</f>
        <v/>
      </c>
      <c r="Z646" s="78" t="s">
        <v>98</v>
      </c>
      <c r="AA646" s="164"/>
      <c r="AB646" s="169"/>
      <c r="AC646" s="37"/>
      <c r="AD646" s="41"/>
      <c r="AE646" s="41"/>
      <c r="AF646" s="41"/>
    </row>
    <row r="647" spans="1:32" ht="16" customHeight="1" x14ac:dyDescent="0.2">
      <c r="A647" s="37"/>
      <c r="B647" s="174"/>
      <c r="C647" s="175"/>
      <c r="D647" s="165" t="s">
        <v>111</v>
      </c>
      <c r="E647" s="166"/>
      <c r="F647" s="166"/>
      <c r="G647" s="167"/>
      <c r="H647" s="43" t="s">
        <v>104</v>
      </c>
      <c r="I647" s="43">
        <f>F646</f>
        <v>4.5076195987654322E-3</v>
      </c>
      <c r="J647" s="71"/>
      <c r="K647" s="52" t="str">
        <f t="shared" si="148"/>
        <v/>
      </c>
      <c r="L647" s="170" t="s">
        <v>112</v>
      </c>
      <c r="M647" s="171"/>
      <c r="N647" s="90"/>
      <c r="O647" s="82" t="s">
        <v>120</v>
      </c>
      <c r="P647" s="43">
        <f>S604</f>
        <v>3.0324074074074073E-3</v>
      </c>
      <c r="Q647" s="71"/>
      <c r="R647" s="52" t="str">
        <f t="shared" ref="R647:R648" si="149">IF(Q647="","",ABS(P647-Q647))</f>
        <v/>
      </c>
      <c r="S647" s="170" t="s">
        <v>112</v>
      </c>
      <c r="T647" s="171"/>
      <c r="U647" s="83"/>
      <c r="V647" s="166" t="s">
        <v>111</v>
      </c>
      <c r="W647" s="166"/>
      <c r="X647" s="166"/>
      <c r="Y647" s="167"/>
      <c r="Z647" s="170" t="s">
        <v>112</v>
      </c>
      <c r="AA647" s="171"/>
      <c r="AB647" s="80"/>
      <c r="AC647" s="37"/>
      <c r="AD647" s="41"/>
      <c r="AE647" s="41"/>
      <c r="AF647" s="41"/>
    </row>
    <row r="648" spans="1:32" ht="16" customHeight="1" x14ac:dyDescent="0.2">
      <c r="A648" s="37"/>
      <c r="B648" s="174"/>
      <c r="C648" s="175"/>
      <c r="D648" s="165"/>
      <c r="E648" s="166"/>
      <c r="F648" s="166"/>
      <c r="G648" s="167"/>
      <c r="H648" s="43"/>
      <c r="I648" s="43"/>
      <c r="J648" s="71"/>
      <c r="K648" s="52" t="str">
        <f t="shared" si="148"/>
        <v/>
      </c>
      <c r="L648" s="163" t="s">
        <v>88</v>
      </c>
      <c r="M648" s="164"/>
      <c r="N648" s="164"/>
      <c r="O648" s="82" t="s">
        <v>122</v>
      </c>
      <c r="P648" s="43">
        <f>S607</f>
        <v>3.7268518518518519E-3</v>
      </c>
      <c r="Q648" s="71"/>
      <c r="R648" s="52" t="str">
        <f t="shared" si="149"/>
        <v/>
      </c>
      <c r="S648" s="163" t="s">
        <v>88</v>
      </c>
      <c r="T648" s="164"/>
      <c r="U648" s="168"/>
      <c r="V648" s="30"/>
      <c r="W648" s="30"/>
      <c r="X648" s="30"/>
      <c r="Y648" s="30"/>
      <c r="Z648" s="163" t="s">
        <v>88</v>
      </c>
      <c r="AA648" s="164"/>
      <c r="AB648" s="169"/>
      <c r="AC648" s="37"/>
      <c r="AD648" s="41"/>
      <c r="AE648" s="41"/>
      <c r="AF648" s="41"/>
    </row>
    <row r="649" spans="1:32" ht="16" customHeight="1" thickBot="1" x14ac:dyDescent="0.25">
      <c r="A649" s="37"/>
      <c r="B649" s="174"/>
      <c r="C649" s="175"/>
      <c r="D649" s="84"/>
      <c r="E649" s="43"/>
      <c r="F649" s="43"/>
      <c r="G649" s="53"/>
      <c r="H649" s="43"/>
      <c r="I649" s="43"/>
      <c r="J649" s="71"/>
      <c r="K649" s="52" t="str">
        <f t="shared" si="148"/>
        <v/>
      </c>
      <c r="L649" s="163"/>
      <c r="M649" s="164"/>
      <c r="N649" s="164"/>
      <c r="O649" s="165" t="s">
        <v>111</v>
      </c>
      <c r="P649" s="166"/>
      <c r="Q649" s="166"/>
      <c r="R649" s="167"/>
      <c r="S649" s="163"/>
      <c r="T649" s="164"/>
      <c r="U649" s="168"/>
      <c r="V649" s="30"/>
      <c r="W649" s="30"/>
      <c r="X649" s="30"/>
      <c r="Y649" s="30"/>
      <c r="Z649" s="163"/>
      <c r="AA649" s="164"/>
      <c r="AB649" s="169"/>
      <c r="AC649" s="37"/>
      <c r="AD649" s="41"/>
      <c r="AE649" s="41"/>
      <c r="AF649" s="41"/>
    </row>
    <row r="650" spans="1:32" ht="16" customHeight="1" x14ac:dyDescent="0.2">
      <c r="A650" s="37"/>
      <c r="B650" s="172">
        <f>B642+1</f>
        <v>6</v>
      </c>
      <c r="C650" s="173"/>
      <c r="D650" s="178">
        <f>D608+(B650-1)*7</f>
        <v>42689</v>
      </c>
      <c r="E650" s="179"/>
      <c r="F650" s="179"/>
      <c r="G650" s="179"/>
      <c r="H650" s="179"/>
      <c r="I650" s="179"/>
      <c r="J650" s="179"/>
      <c r="K650" s="179"/>
      <c r="L650" s="179"/>
      <c r="M650" s="179"/>
      <c r="N650" s="179"/>
      <c r="O650" s="178">
        <f>O608+(B650-1)*7</f>
        <v>42692</v>
      </c>
      <c r="P650" s="179"/>
      <c r="Q650" s="179"/>
      <c r="R650" s="179"/>
      <c r="S650" s="179"/>
      <c r="T650" s="179"/>
      <c r="U650" s="180"/>
      <c r="V650" s="179">
        <f>V608+(B650-1)*7</f>
        <v>42694</v>
      </c>
      <c r="W650" s="179"/>
      <c r="X650" s="179"/>
      <c r="Y650" s="179"/>
      <c r="Z650" s="179"/>
      <c r="AA650" s="179"/>
      <c r="AB650" s="181"/>
      <c r="AC650" s="37"/>
      <c r="AD650" s="41"/>
      <c r="AE650" s="41"/>
      <c r="AF650" s="41"/>
    </row>
    <row r="651" spans="1:32" ht="16" customHeight="1" x14ac:dyDescent="0.2">
      <c r="A651" s="37"/>
      <c r="B651" s="174"/>
      <c r="C651" s="175"/>
      <c r="D651" s="182" t="s">
        <v>99</v>
      </c>
      <c r="E651" s="183"/>
      <c r="F651" s="183"/>
      <c r="G651" s="184"/>
      <c r="H651" s="185" t="s">
        <v>101</v>
      </c>
      <c r="I651" s="183"/>
      <c r="J651" s="183"/>
      <c r="K651" s="184"/>
      <c r="L651" s="183" t="s">
        <v>100</v>
      </c>
      <c r="M651" s="183"/>
      <c r="N651" s="183"/>
      <c r="O651" s="182" t="s">
        <v>99</v>
      </c>
      <c r="P651" s="183"/>
      <c r="Q651" s="183"/>
      <c r="R651" s="183"/>
      <c r="S651" s="185" t="s">
        <v>100</v>
      </c>
      <c r="T651" s="183"/>
      <c r="U651" s="186"/>
      <c r="V651" s="183" t="s">
        <v>99</v>
      </c>
      <c r="W651" s="183"/>
      <c r="X651" s="183"/>
      <c r="Y651" s="183"/>
      <c r="Z651" s="185" t="s">
        <v>100</v>
      </c>
      <c r="AA651" s="183"/>
      <c r="AB651" s="187"/>
      <c r="AC651" s="37"/>
      <c r="AD651" s="41"/>
      <c r="AE651" s="41"/>
      <c r="AF651" s="41"/>
    </row>
    <row r="652" spans="1:32" ht="16" customHeight="1" x14ac:dyDescent="0.2">
      <c r="A652" s="37"/>
      <c r="B652" s="174"/>
      <c r="C652" s="175"/>
      <c r="D652" s="188" t="s">
        <v>110</v>
      </c>
      <c r="E652" s="189"/>
      <c r="F652" s="189"/>
      <c r="G652" s="190"/>
      <c r="H652" s="43" t="s">
        <v>113</v>
      </c>
      <c r="I652" s="43" t="s">
        <v>114</v>
      </c>
      <c r="J652" s="71" t="s">
        <v>115</v>
      </c>
      <c r="K652" s="53" t="s">
        <v>116</v>
      </c>
      <c r="L652" s="74" t="s">
        <v>96</v>
      </c>
      <c r="M652" s="191"/>
      <c r="N652" s="191"/>
      <c r="O652" s="188" t="s">
        <v>110</v>
      </c>
      <c r="P652" s="189"/>
      <c r="Q652" s="189"/>
      <c r="R652" s="189"/>
      <c r="S652" s="77" t="s">
        <v>96</v>
      </c>
      <c r="T652" s="191"/>
      <c r="U652" s="192"/>
      <c r="V652" s="189" t="s">
        <v>110</v>
      </c>
      <c r="W652" s="189"/>
      <c r="X652" s="189"/>
      <c r="Y652" s="189"/>
      <c r="Z652" s="77" t="s">
        <v>96</v>
      </c>
      <c r="AA652" s="191"/>
      <c r="AB652" s="193"/>
      <c r="AC652" s="37"/>
      <c r="AD652" s="41"/>
      <c r="AE652" s="41"/>
      <c r="AF652" s="41"/>
    </row>
    <row r="653" spans="1:32" ht="16" customHeight="1" x14ac:dyDescent="0.2">
      <c r="A653" s="37"/>
      <c r="B653" s="174"/>
      <c r="C653" s="175"/>
      <c r="D653" s="82" t="s">
        <v>53</v>
      </c>
      <c r="E653" s="41" t="s">
        <v>54</v>
      </c>
      <c r="F653" s="41" t="s">
        <v>90</v>
      </c>
      <c r="G653" s="53" t="s">
        <v>55</v>
      </c>
      <c r="H653" s="43" t="s">
        <v>102</v>
      </c>
      <c r="I653" s="43">
        <f>F654</f>
        <v>3.3135609567901229E-3</v>
      </c>
      <c r="J653" s="71"/>
      <c r="K653" s="52" t="str">
        <f>IF(J653="","",ABS(I653-J653))</f>
        <v/>
      </c>
      <c r="L653" s="75" t="s">
        <v>97</v>
      </c>
      <c r="M653" s="164"/>
      <c r="N653" s="164"/>
      <c r="O653" s="82" t="s">
        <v>54</v>
      </c>
      <c r="P653" s="41" t="s">
        <v>65</v>
      </c>
      <c r="Q653" s="67" t="s">
        <v>117</v>
      </c>
      <c r="R653" s="41" t="s">
        <v>116</v>
      </c>
      <c r="S653" s="78" t="s">
        <v>97</v>
      </c>
      <c r="T653" s="164"/>
      <c r="U653" s="168"/>
      <c r="V653" s="41" t="s">
        <v>54</v>
      </c>
      <c r="W653" s="41" t="s">
        <v>65</v>
      </c>
      <c r="X653" s="67" t="s">
        <v>117</v>
      </c>
      <c r="Y653" s="41" t="s">
        <v>116</v>
      </c>
      <c r="Z653" s="78" t="s">
        <v>97</v>
      </c>
      <c r="AA653" s="164"/>
      <c r="AB653" s="169"/>
      <c r="AC653" s="37"/>
      <c r="AD653" s="41"/>
      <c r="AE653" s="41"/>
      <c r="AF653" s="41"/>
    </row>
    <row r="654" spans="1:32" ht="16" customHeight="1" x14ac:dyDescent="0.2">
      <c r="A654" s="37"/>
      <c r="B654" s="174"/>
      <c r="C654" s="175"/>
      <c r="D654" s="82" t="s">
        <v>59</v>
      </c>
      <c r="E654" s="41">
        <v>1200</v>
      </c>
      <c r="F654" s="43">
        <f>L604</f>
        <v>3.3135609567901229E-3</v>
      </c>
      <c r="G654" s="53" t="s">
        <v>145</v>
      </c>
      <c r="H654" s="43" t="s">
        <v>103</v>
      </c>
      <c r="I654" s="43">
        <f>I653</f>
        <v>3.3135609567901229E-3</v>
      </c>
      <c r="J654" s="71"/>
      <c r="K654" s="52" t="str">
        <f t="shared" ref="K654:K658" si="150">IF(J654="","",ABS(I654-J654))</f>
        <v/>
      </c>
      <c r="L654" s="75" t="s">
        <v>98</v>
      </c>
      <c r="M654" s="164"/>
      <c r="N654" s="164"/>
      <c r="O654" s="82" t="s">
        <v>122</v>
      </c>
      <c r="P654" s="43">
        <f>S607</f>
        <v>3.7268518518518519E-3</v>
      </c>
      <c r="Q654" s="71"/>
      <c r="R654" s="52" t="str">
        <f>IF(Q654="","",ABS(P654-Q654))</f>
        <v/>
      </c>
      <c r="S654" s="78" t="s">
        <v>98</v>
      </c>
      <c r="T654" s="164"/>
      <c r="U654" s="168"/>
      <c r="V654" s="41" t="s">
        <v>159</v>
      </c>
      <c r="W654" s="43">
        <f>Z604+28/86400</f>
        <v>3.6824845679012345E-3</v>
      </c>
      <c r="X654" s="71"/>
      <c r="Y654" s="52" t="str">
        <f>IF(X654="","",ABS(W654-X654))</f>
        <v/>
      </c>
      <c r="Z654" s="78" t="s">
        <v>98</v>
      </c>
      <c r="AA654" s="164"/>
      <c r="AB654" s="169"/>
      <c r="AC654" s="37"/>
      <c r="AD654" s="41"/>
      <c r="AE654" s="41"/>
      <c r="AF654" s="41"/>
    </row>
    <row r="655" spans="1:32" ht="16" customHeight="1" x14ac:dyDescent="0.2">
      <c r="A655" s="37"/>
      <c r="B655" s="174"/>
      <c r="C655" s="175"/>
      <c r="D655" s="82" t="s">
        <v>61</v>
      </c>
      <c r="E655" s="41">
        <v>800</v>
      </c>
      <c r="F655" s="43">
        <f>F606</f>
        <v>2.1566358024691359E-3</v>
      </c>
      <c r="G655" s="53" t="s">
        <v>145</v>
      </c>
      <c r="H655" s="43" t="s">
        <v>104</v>
      </c>
      <c r="I655" s="43">
        <f>F655</f>
        <v>2.1566358024691359E-3</v>
      </c>
      <c r="J655" s="71"/>
      <c r="K655" s="52" t="str">
        <f t="shared" si="150"/>
        <v/>
      </c>
      <c r="L655" s="170" t="s">
        <v>112</v>
      </c>
      <c r="M655" s="171"/>
      <c r="N655" s="90"/>
      <c r="O655" s="82" t="s">
        <v>119</v>
      </c>
      <c r="P655" s="43">
        <f>S605</f>
        <v>3.1481481481481482E-3</v>
      </c>
      <c r="Q655" s="71"/>
      <c r="R655" s="52" t="str">
        <f t="shared" ref="R655:R656" si="151">IF(Q655="","",ABS(P655-Q655))</f>
        <v/>
      </c>
      <c r="S655" s="170" t="s">
        <v>112</v>
      </c>
      <c r="T655" s="171"/>
      <c r="U655" s="83"/>
      <c r="V655" s="166" t="s">
        <v>111</v>
      </c>
      <c r="W655" s="166"/>
      <c r="X655" s="166"/>
      <c r="Y655" s="167"/>
      <c r="Z655" s="170" t="s">
        <v>112</v>
      </c>
      <c r="AA655" s="171"/>
      <c r="AB655" s="80"/>
      <c r="AC655" s="37"/>
      <c r="AD655" s="41"/>
      <c r="AE655" s="41"/>
      <c r="AF655" s="41"/>
    </row>
    <row r="656" spans="1:32" ht="16" customHeight="1" x14ac:dyDescent="0.2">
      <c r="A656" s="37"/>
      <c r="B656" s="174"/>
      <c r="C656" s="175"/>
      <c r="D656" s="165" t="s">
        <v>111</v>
      </c>
      <c r="E656" s="166"/>
      <c r="F656" s="166"/>
      <c r="G656" s="167"/>
      <c r="H656" s="43" t="s">
        <v>105</v>
      </c>
      <c r="I656" s="43">
        <f t="shared" ref="I656" si="152">I655</f>
        <v>2.1566358024691359E-3</v>
      </c>
      <c r="J656" s="71"/>
      <c r="K656" s="52" t="str">
        <f t="shared" si="150"/>
        <v/>
      </c>
      <c r="L656" s="163" t="s">
        <v>88</v>
      </c>
      <c r="M656" s="164"/>
      <c r="N656" s="164"/>
      <c r="O656" s="82" t="s">
        <v>122</v>
      </c>
      <c r="P656" s="43">
        <f>S607</f>
        <v>3.7268518518518519E-3</v>
      </c>
      <c r="Q656" s="71"/>
      <c r="R656" s="52" t="str">
        <f t="shared" si="151"/>
        <v/>
      </c>
      <c r="S656" s="163" t="s">
        <v>88</v>
      </c>
      <c r="T656" s="164"/>
      <c r="U656" s="168"/>
      <c r="V656" s="30"/>
      <c r="W656" s="30"/>
      <c r="X656" s="30"/>
      <c r="Y656" s="30"/>
      <c r="Z656" s="163" t="s">
        <v>88</v>
      </c>
      <c r="AA656" s="164"/>
      <c r="AB656" s="169"/>
      <c r="AC656" s="37"/>
      <c r="AD656" s="41"/>
      <c r="AE656" s="41"/>
      <c r="AF656" s="41"/>
    </row>
    <row r="657" spans="1:32" ht="16" customHeight="1" x14ac:dyDescent="0.2">
      <c r="A657" s="37"/>
      <c r="B657" s="174"/>
      <c r="C657" s="175"/>
      <c r="D657" s="82"/>
      <c r="E657" s="41"/>
      <c r="F657" s="43"/>
      <c r="G657" s="53"/>
      <c r="H657" s="43" t="s">
        <v>106</v>
      </c>
      <c r="I657" s="43">
        <f>I655</f>
        <v>2.1566358024691359E-3</v>
      </c>
      <c r="J657" s="71"/>
      <c r="K657" s="52" t="str">
        <f t="shared" si="150"/>
        <v/>
      </c>
      <c r="L657" s="163"/>
      <c r="M657" s="164"/>
      <c r="N657" s="164"/>
      <c r="O657" s="165" t="s">
        <v>111</v>
      </c>
      <c r="P657" s="166"/>
      <c r="Q657" s="166"/>
      <c r="R657" s="167"/>
      <c r="S657" s="163"/>
      <c r="T657" s="164"/>
      <c r="U657" s="168"/>
      <c r="V657" s="30"/>
      <c r="W657" s="30"/>
      <c r="X657" s="30"/>
      <c r="Y657" s="30"/>
      <c r="Z657" s="163"/>
      <c r="AA657" s="164"/>
      <c r="AB657" s="169"/>
      <c r="AC657" s="37"/>
      <c r="AD657" s="41"/>
      <c r="AE657" s="41"/>
      <c r="AF657" s="41"/>
    </row>
    <row r="658" spans="1:32" ht="16" customHeight="1" thickBot="1" x14ac:dyDescent="0.25">
      <c r="A658" s="37"/>
      <c r="B658" s="174"/>
      <c r="C658" s="175"/>
      <c r="D658" s="82"/>
      <c r="E658" s="41"/>
      <c r="F658" s="43"/>
      <c r="G658" s="53"/>
      <c r="H658" s="43" t="s">
        <v>107</v>
      </c>
      <c r="I658" s="43">
        <f>I656</f>
        <v>2.1566358024691359E-3</v>
      </c>
      <c r="J658" s="71"/>
      <c r="K658" s="52" t="str">
        <f t="shared" si="150"/>
        <v/>
      </c>
      <c r="L658" s="50"/>
      <c r="M658" s="41"/>
      <c r="N658" s="85"/>
      <c r="O658" s="82"/>
      <c r="P658" s="43"/>
      <c r="Q658" s="43"/>
      <c r="R658" s="76"/>
      <c r="S658" s="50"/>
      <c r="T658" s="41"/>
      <c r="U658" s="85"/>
      <c r="V658" s="30"/>
      <c r="W658" s="30"/>
      <c r="X658" s="30"/>
      <c r="Y658" s="30"/>
      <c r="Z658" s="50"/>
      <c r="AA658" s="41"/>
      <c r="AB658" s="35"/>
      <c r="AC658" s="37"/>
      <c r="AD658" s="41"/>
      <c r="AE658" s="41"/>
      <c r="AF658" s="41"/>
    </row>
    <row r="659" spans="1:32" ht="16" customHeight="1" x14ac:dyDescent="0.2">
      <c r="A659" s="37"/>
      <c r="B659" s="172">
        <f>B650+1</f>
        <v>7</v>
      </c>
      <c r="C659" s="173"/>
      <c r="D659" s="178">
        <f>D608+(B659-1)*7</f>
        <v>42696</v>
      </c>
      <c r="E659" s="179"/>
      <c r="F659" s="179"/>
      <c r="G659" s="179"/>
      <c r="H659" s="179"/>
      <c r="I659" s="179"/>
      <c r="J659" s="179"/>
      <c r="K659" s="179"/>
      <c r="L659" s="179"/>
      <c r="M659" s="179"/>
      <c r="N659" s="179"/>
      <c r="O659" s="178">
        <f>O608+(B659-1)*7</f>
        <v>42699</v>
      </c>
      <c r="P659" s="179"/>
      <c r="Q659" s="179"/>
      <c r="R659" s="179"/>
      <c r="S659" s="179"/>
      <c r="T659" s="179"/>
      <c r="U659" s="180"/>
      <c r="V659" s="179">
        <f>V608+(B659-1)*7</f>
        <v>42701</v>
      </c>
      <c r="W659" s="179"/>
      <c r="X659" s="179"/>
      <c r="Y659" s="179"/>
      <c r="Z659" s="179"/>
      <c r="AA659" s="179"/>
      <c r="AB659" s="181"/>
      <c r="AC659" s="37"/>
      <c r="AD659" s="41"/>
      <c r="AE659" s="41"/>
      <c r="AF659" s="41"/>
    </row>
    <row r="660" spans="1:32" ht="16" customHeight="1" x14ac:dyDescent="0.2">
      <c r="A660" s="37"/>
      <c r="B660" s="174"/>
      <c r="C660" s="175"/>
      <c r="D660" s="182" t="s">
        <v>99</v>
      </c>
      <c r="E660" s="183"/>
      <c r="F660" s="183"/>
      <c r="G660" s="184"/>
      <c r="H660" s="185" t="s">
        <v>101</v>
      </c>
      <c r="I660" s="183"/>
      <c r="J660" s="183"/>
      <c r="K660" s="184"/>
      <c r="L660" s="183" t="s">
        <v>100</v>
      </c>
      <c r="M660" s="183"/>
      <c r="N660" s="183"/>
      <c r="O660" s="182" t="s">
        <v>99</v>
      </c>
      <c r="P660" s="183"/>
      <c r="Q660" s="183"/>
      <c r="R660" s="183"/>
      <c r="S660" s="185" t="s">
        <v>100</v>
      </c>
      <c r="T660" s="183"/>
      <c r="U660" s="186"/>
      <c r="V660" s="183" t="s">
        <v>99</v>
      </c>
      <c r="W660" s="183"/>
      <c r="X660" s="183"/>
      <c r="Y660" s="183"/>
      <c r="Z660" s="185" t="s">
        <v>100</v>
      </c>
      <c r="AA660" s="183"/>
      <c r="AB660" s="187"/>
      <c r="AC660" s="37"/>
      <c r="AD660" s="41"/>
      <c r="AE660" s="41"/>
      <c r="AF660" s="41"/>
    </row>
    <row r="661" spans="1:32" ht="16" customHeight="1" x14ac:dyDescent="0.2">
      <c r="A661" s="37"/>
      <c r="B661" s="174"/>
      <c r="C661" s="175"/>
      <c r="D661" s="188" t="s">
        <v>110</v>
      </c>
      <c r="E661" s="189"/>
      <c r="F661" s="189"/>
      <c r="G661" s="190"/>
      <c r="H661" s="43" t="s">
        <v>113</v>
      </c>
      <c r="I661" s="43" t="s">
        <v>114</v>
      </c>
      <c r="J661" s="71" t="s">
        <v>115</v>
      </c>
      <c r="K661" s="53" t="s">
        <v>116</v>
      </c>
      <c r="L661" s="74" t="s">
        <v>96</v>
      </c>
      <c r="M661" s="191"/>
      <c r="N661" s="191"/>
      <c r="O661" s="188" t="s">
        <v>110</v>
      </c>
      <c r="P661" s="189"/>
      <c r="Q661" s="189"/>
      <c r="R661" s="189"/>
      <c r="S661" s="77" t="s">
        <v>96</v>
      </c>
      <c r="T661" s="191"/>
      <c r="U661" s="192"/>
      <c r="V661" s="189" t="s">
        <v>110</v>
      </c>
      <c r="W661" s="189"/>
      <c r="X661" s="189"/>
      <c r="Y661" s="189"/>
      <c r="Z661" s="77" t="s">
        <v>96</v>
      </c>
      <c r="AA661" s="191"/>
      <c r="AB661" s="193"/>
      <c r="AC661" s="37"/>
      <c r="AD661" s="41"/>
      <c r="AE661" s="41"/>
      <c r="AF661" s="41"/>
    </row>
    <row r="662" spans="1:32" ht="16" customHeight="1" x14ac:dyDescent="0.2">
      <c r="A662" s="37"/>
      <c r="B662" s="174"/>
      <c r="C662" s="175"/>
      <c r="D662" s="82" t="s">
        <v>53</v>
      </c>
      <c r="E662" s="41" t="s">
        <v>54</v>
      </c>
      <c r="F662" s="41" t="s">
        <v>90</v>
      </c>
      <c r="G662" s="53" t="s">
        <v>55</v>
      </c>
      <c r="H662" s="43" t="s">
        <v>102</v>
      </c>
      <c r="I662" s="43">
        <f>F663</f>
        <v>2.1566358024691359E-3</v>
      </c>
      <c r="J662" s="71"/>
      <c r="K662" s="52" t="str">
        <f>IF(J662="","",ABS(I662-J662))</f>
        <v/>
      </c>
      <c r="L662" s="75" t="s">
        <v>97</v>
      </c>
      <c r="M662" s="164"/>
      <c r="N662" s="164"/>
      <c r="O662" s="82" t="s">
        <v>54</v>
      </c>
      <c r="P662" s="41" t="s">
        <v>65</v>
      </c>
      <c r="Q662" s="67" t="s">
        <v>117</v>
      </c>
      <c r="R662" s="41" t="s">
        <v>116</v>
      </c>
      <c r="S662" s="78" t="s">
        <v>97</v>
      </c>
      <c r="T662" s="164"/>
      <c r="U662" s="168"/>
      <c r="V662" s="41" t="s">
        <v>54</v>
      </c>
      <c r="W662" s="41" t="s">
        <v>65</v>
      </c>
      <c r="X662" s="67" t="s">
        <v>117</v>
      </c>
      <c r="Y662" s="41" t="s">
        <v>116</v>
      </c>
      <c r="Z662" s="78" t="s">
        <v>97</v>
      </c>
      <c r="AA662" s="164"/>
      <c r="AB662" s="169"/>
      <c r="AC662" s="37"/>
      <c r="AD662" s="41"/>
      <c r="AE662" s="41"/>
      <c r="AF662" s="41"/>
    </row>
    <row r="663" spans="1:32" ht="16" customHeight="1" x14ac:dyDescent="0.2">
      <c r="A663" s="37"/>
      <c r="B663" s="174"/>
      <c r="C663" s="175"/>
      <c r="D663" s="82" t="s">
        <v>63</v>
      </c>
      <c r="E663" s="41">
        <v>800</v>
      </c>
      <c r="F663" s="43">
        <f>F606</f>
        <v>2.1566358024691359E-3</v>
      </c>
      <c r="G663" s="53" t="s">
        <v>127</v>
      </c>
      <c r="H663" s="43" t="s">
        <v>103</v>
      </c>
      <c r="I663" s="43">
        <f>I662</f>
        <v>2.1566358024691359E-3</v>
      </c>
      <c r="J663" s="71"/>
      <c r="K663" s="52" t="str">
        <f t="shared" ref="K663:K667" si="153">IF(J663="","",ABS(I663-J663))</f>
        <v/>
      </c>
      <c r="L663" s="75" t="s">
        <v>98</v>
      </c>
      <c r="M663" s="164"/>
      <c r="N663" s="164"/>
      <c r="O663" s="82" t="s">
        <v>122</v>
      </c>
      <c r="P663" s="43">
        <f>S607</f>
        <v>3.7268518518518519E-3</v>
      </c>
      <c r="Q663" s="71"/>
      <c r="R663" s="76" t="str">
        <f>IF(Q663="","",ABS(P663-Q663))</f>
        <v/>
      </c>
      <c r="S663" s="78" t="s">
        <v>98</v>
      </c>
      <c r="T663" s="164"/>
      <c r="U663" s="168"/>
      <c r="V663" s="41" t="s">
        <v>149</v>
      </c>
      <c r="W663" s="43">
        <f>Z604+9/86400</f>
        <v>3.4625771604938271E-3</v>
      </c>
      <c r="X663" s="71"/>
      <c r="Y663" s="52" t="str">
        <f>IF(X663="","",ABS(W663-X663))</f>
        <v/>
      </c>
      <c r="Z663" s="78" t="s">
        <v>98</v>
      </c>
      <c r="AA663" s="164"/>
      <c r="AB663" s="169"/>
      <c r="AC663" s="37"/>
      <c r="AD663" s="41"/>
      <c r="AE663" s="41"/>
      <c r="AF663" s="41"/>
    </row>
    <row r="664" spans="1:32" ht="16" customHeight="1" x14ac:dyDescent="0.2">
      <c r="A664" s="37"/>
      <c r="B664" s="174"/>
      <c r="C664" s="175"/>
      <c r="D664" s="165" t="s">
        <v>111</v>
      </c>
      <c r="E664" s="166"/>
      <c r="F664" s="166"/>
      <c r="G664" s="167"/>
      <c r="H664" s="43" t="s">
        <v>104</v>
      </c>
      <c r="I664" s="43">
        <f t="shared" ref="I664:I667" si="154">I663</f>
        <v>2.1566358024691359E-3</v>
      </c>
      <c r="J664" s="71"/>
      <c r="K664" s="52" t="str">
        <f t="shared" si="153"/>
        <v/>
      </c>
      <c r="L664" s="170" t="s">
        <v>112</v>
      </c>
      <c r="M664" s="171"/>
      <c r="N664" s="90"/>
      <c r="O664" s="82" t="s">
        <v>121</v>
      </c>
      <c r="P664" s="43">
        <f>S606</f>
        <v>3.2523148148148147E-3</v>
      </c>
      <c r="Q664" s="71"/>
      <c r="R664" s="76" t="str">
        <f t="shared" ref="R664:R665" si="155">IF(Q664="","",ABS(P664-Q664))</f>
        <v/>
      </c>
      <c r="S664" s="170" t="s">
        <v>112</v>
      </c>
      <c r="T664" s="171"/>
      <c r="U664" s="83"/>
      <c r="V664" s="166" t="s">
        <v>111</v>
      </c>
      <c r="W664" s="166"/>
      <c r="X664" s="166"/>
      <c r="Y664" s="167"/>
      <c r="Z664" s="170" t="s">
        <v>112</v>
      </c>
      <c r="AA664" s="171"/>
      <c r="AB664" s="80"/>
      <c r="AC664" s="37"/>
      <c r="AD664" s="41"/>
      <c r="AE664" s="41"/>
      <c r="AF664" s="41"/>
    </row>
    <row r="665" spans="1:32" ht="16" customHeight="1" x14ac:dyDescent="0.2">
      <c r="A665" s="37"/>
      <c r="B665" s="174"/>
      <c r="C665" s="175"/>
      <c r="D665" s="82"/>
      <c r="E665" s="41"/>
      <c r="F665" s="43"/>
      <c r="G665" s="53"/>
      <c r="H665" s="43" t="s">
        <v>105</v>
      </c>
      <c r="I665" s="43">
        <f t="shared" si="154"/>
        <v>2.1566358024691359E-3</v>
      </c>
      <c r="J665" s="71"/>
      <c r="K665" s="52" t="str">
        <f t="shared" si="153"/>
        <v/>
      </c>
      <c r="L665" s="163" t="s">
        <v>88</v>
      </c>
      <c r="M665" s="164"/>
      <c r="N665" s="164"/>
      <c r="O665" s="82" t="s">
        <v>122</v>
      </c>
      <c r="P665" s="43">
        <f>S607</f>
        <v>3.7268518518518519E-3</v>
      </c>
      <c r="Q665" s="71"/>
      <c r="R665" s="76" t="str">
        <f t="shared" si="155"/>
        <v/>
      </c>
      <c r="S665" s="163" t="s">
        <v>88</v>
      </c>
      <c r="T665" s="164"/>
      <c r="U665" s="168"/>
      <c r="V665" s="30"/>
      <c r="W665" s="30"/>
      <c r="X665" s="30"/>
      <c r="Y665" s="30"/>
      <c r="Z665" s="163" t="s">
        <v>88</v>
      </c>
      <c r="AA665" s="164"/>
      <c r="AB665" s="169"/>
      <c r="AC665" s="37"/>
      <c r="AD665" s="41"/>
      <c r="AE665" s="41"/>
      <c r="AF665" s="41"/>
    </row>
    <row r="666" spans="1:32" ht="16" customHeight="1" x14ac:dyDescent="0.2">
      <c r="A666" s="37"/>
      <c r="B666" s="174"/>
      <c r="C666" s="175"/>
      <c r="D666" s="82"/>
      <c r="E666" s="41"/>
      <c r="F666" s="43"/>
      <c r="G666" s="53"/>
      <c r="H666" s="43" t="s">
        <v>106</v>
      </c>
      <c r="I666" s="43">
        <f t="shared" si="154"/>
        <v>2.1566358024691359E-3</v>
      </c>
      <c r="J666" s="71"/>
      <c r="K666" s="52" t="str">
        <f t="shared" si="153"/>
        <v/>
      </c>
      <c r="L666" s="163"/>
      <c r="M666" s="164"/>
      <c r="N666" s="164"/>
      <c r="O666" s="165" t="s">
        <v>111</v>
      </c>
      <c r="P666" s="166"/>
      <c r="Q666" s="166"/>
      <c r="R666" s="166"/>
      <c r="S666" s="163"/>
      <c r="T666" s="164"/>
      <c r="U666" s="168"/>
      <c r="V666" s="30"/>
      <c r="W666" s="30"/>
      <c r="X666" s="30"/>
      <c r="Y666" s="30"/>
      <c r="Z666" s="163"/>
      <c r="AA666" s="164"/>
      <c r="AB666" s="169"/>
      <c r="AC666" s="37"/>
      <c r="AD666" s="41"/>
      <c r="AE666" s="41"/>
      <c r="AF666" s="41"/>
    </row>
    <row r="667" spans="1:32" ht="16" customHeight="1" thickBot="1" x14ac:dyDescent="0.25">
      <c r="A667" s="37"/>
      <c r="B667" s="174"/>
      <c r="C667" s="175"/>
      <c r="D667" s="82"/>
      <c r="E667" s="41"/>
      <c r="F667" s="43"/>
      <c r="G667" s="53"/>
      <c r="H667" s="43" t="s">
        <v>107</v>
      </c>
      <c r="I667" s="43">
        <f t="shared" si="154"/>
        <v>2.1566358024691359E-3</v>
      </c>
      <c r="J667" s="71"/>
      <c r="K667" s="52" t="str">
        <f t="shared" si="153"/>
        <v/>
      </c>
      <c r="L667" s="41"/>
      <c r="M667" s="41"/>
      <c r="N667" s="30"/>
      <c r="O667" s="82"/>
      <c r="P667" s="43"/>
      <c r="Q667" s="43"/>
      <c r="R667" s="52"/>
      <c r="S667" s="50"/>
      <c r="T667" s="41"/>
      <c r="U667" s="85"/>
      <c r="V667" s="30"/>
      <c r="W667" s="30"/>
      <c r="X667" s="30"/>
      <c r="Y667" s="30"/>
      <c r="Z667" s="50"/>
      <c r="AA667" s="41"/>
      <c r="AB667" s="35"/>
      <c r="AC667" s="37"/>
      <c r="AD667" s="41"/>
      <c r="AE667" s="41"/>
      <c r="AF667" s="41"/>
    </row>
    <row r="668" spans="1:32" ht="16" customHeight="1" x14ac:dyDescent="0.2">
      <c r="A668" s="37"/>
      <c r="B668" s="172">
        <f>B659+1</f>
        <v>8</v>
      </c>
      <c r="C668" s="173"/>
      <c r="D668" s="178">
        <f>D608+(B668-1)*7</f>
        <v>42703</v>
      </c>
      <c r="E668" s="179"/>
      <c r="F668" s="179"/>
      <c r="G668" s="179"/>
      <c r="H668" s="179"/>
      <c r="I668" s="179"/>
      <c r="J668" s="179"/>
      <c r="K668" s="179"/>
      <c r="L668" s="179"/>
      <c r="M668" s="179"/>
      <c r="N668" s="179"/>
      <c r="O668" s="178">
        <f>O608+(B668-1)*7</f>
        <v>42706</v>
      </c>
      <c r="P668" s="179"/>
      <c r="Q668" s="179"/>
      <c r="R668" s="179"/>
      <c r="S668" s="179"/>
      <c r="T668" s="179"/>
      <c r="U668" s="180"/>
      <c r="V668" s="179">
        <f>V608+(B668-1)*7</f>
        <v>42708</v>
      </c>
      <c r="W668" s="179"/>
      <c r="X668" s="179"/>
      <c r="Y668" s="179"/>
      <c r="Z668" s="179"/>
      <c r="AA668" s="179"/>
      <c r="AB668" s="181"/>
      <c r="AC668" s="37"/>
      <c r="AD668" s="41"/>
      <c r="AE668" s="41"/>
      <c r="AF668" s="41"/>
    </row>
    <row r="669" spans="1:32" ht="16" customHeight="1" x14ac:dyDescent="0.2">
      <c r="A669" s="37"/>
      <c r="B669" s="174"/>
      <c r="C669" s="175"/>
      <c r="D669" s="182" t="s">
        <v>99</v>
      </c>
      <c r="E669" s="183"/>
      <c r="F669" s="183"/>
      <c r="G669" s="184"/>
      <c r="H669" s="185" t="s">
        <v>101</v>
      </c>
      <c r="I669" s="183"/>
      <c r="J669" s="183"/>
      <c r="K669" s="184"/>
      <c r="L669" s="183" t="s">
        <v>100</v>
      </c>
      <c r="M669" s="183"/>
      <c r="N669" s="183"/>
      <c r="O669" s="182" t="s">
        <v>99</v>
      </c>
      <c r="P669" s="183"/>
      <c r="Q669" s="183"/>
      <c r="R669" s="183"/>
      <c r="S669" s="185" t="s">
        <v>100</v>
      </c>
      <c r="T669" s="183"/>
      <c r="U669" s="186"/>
      <c r="V669" s="183" t="s">
        <v>99</v>
      </c>
      <c r="W669" s="183"/>
      <c r="X669" s="183"/>
      <c r="Y669" s="183"/>
      <c r="Z669" s="185" t="s">
        <v>100</v>
      </c>
      <c r="AA669" s="183"/>
      <c r="AB669" s="187"/>
      <c r="AC669" s="104"/>
      <c r="AD669" s="30"/>
      <c r="AE669" s="41"/>
      <c r="AF669" s="41"/>
    </row>
    <row r="670" spans="1:32" ht="16" customHeight="1" x14ac:dyDescent="0.2">
      <c r="A670" s="37"/>
      <c r="B670" s="174"/>
      <c r="C670" s="175"/>
      <c r="D670" s="188" t="s">
        <v>110</v>
      </c>
      <c r="E670" s="189"/>
      <c r="F670" s="189"/>
      <c r="G670" s="190"/>
      <c r="H670" s="43" t="s">
        <v>113</v>
      </c>
      <c r="I670" s="43" t="s">
        <v>114</v>
      </c>
      <c r="J670" s="71" t="s">
        <v>115</v>
      </c>
      <c r="K670" s="53" t="s">
        <v>116</v>
      </c>
      <c r="L670" s="74" t="s">
        <v>96</v>
      </c>
      <c r="M670" s="191"/>
      <c r="N670" s="191"/>
      <c r="O670" s="188" t="s">
        <v>110</v>
      </c>
      <c r="P670" s="189"/>
      <c r="Q670" s="189"/>
      <c r="R670" s="189"/>
      <c r="S670" s="77" t="s">
        <v>96</v>
      </c>
      <c r="T670" s="191"/>
      <c r="U670" s="192"/>
      <c r="V670" s="189" t="s">
        <v>110</v>
      </c>
      <c r="W670" s="189"/>
      <c r="X670" s="189"/>
      <c r="Y670" s="189"/>
      <c r="Z670" s="77" t="s">
        <v>96</v>
      </c>
      <c r="AA670" s="191"/>
      <c r="AB670" s="193"/>
      <c r="AC670" s="37"/>
      <c r="AD670" s="41"/>
      <c r="AE670" s="41"/>
      <c r="AF670" s="41"/>
    </row>
    <row r="671" spans="1:32" ht="16" customHeight="1" x14ac:dyDescent="0.2">
      <c r="A671" s="37"/>
      <c r="B671" s="174"/>
      <c r="C671" s="175"/>
      <c r="D671" s="82" t="s">
        <v>53</v>
      </c>
      <c r="E671" s="41" t="s">
        <v>54</v>
      </c>
      <c r="F671" s="41" t="s">
        <v>90</v>
      </c>
      <c r="G671" s="53" t="s">
        <v>55</v>
      </c>
      <c r="H671" s="43" t="s">
        <v>102</v>
      </c>
      <c r="I671" s="43">
        <f>F673</f>
        <v>1.0551697530864197E-3</v>
      </c>
      <c r="J671" s="71"/>
      <c r="K671" s="52" t="str">
        <f>IF(J671="","",ABS(I671-J671))</f>
        <v/>
      </c>
      <c r="L671" s="75" t="s">
        <v>97</v>
      </c>
      <c r="M671" s="164"/>
      <c r="N671" s="164"/>
      <c r="O671" s="82" t="s">
        <v>54</v>
      </c>
      <c r="P671" s="41" t="s">
        <v>65</v>
      </c>
      <c r="Q671" s="67" t="s">
        <v>117</v>
      </c>
      <c r="R671" s="41" t="s">
        <v>116</v>
      </c>
      <c r="S671" s="78" t="s">
        <v>97</v>
      </c>
      <c r="T671" s="164"/>
      <c r="U671" s="168"/>
      <c r="V671" s="41" t="s">
        <v>54</v>
      </c>
      <c r="W671" s="41" t="s">
        <v>65</v>
      </c>
      <c r="X671" s="67" t="s">
        <v>117</v>
      </c>
      <c r="Y671" s="41" t="s">
        <v>116</v>
      </c>
      <c r="Z671" s="78" t="s">
        <v>97</v>
      </c>
      <c r="AA671" s="164"/>
      <c r="AB671" s="169"/>
      <c r="AC671" s="37"/>
      <c r="AD671" s="41"/>
      <c r="AE671" s="41"/>
      <c r="AF671" s="41"/>
    </row>
    <row r="672" spans="1:32" ht="16" customHeight="1" x14ac:dyDescent="0.2">
      <c r="A672" s="37"/>
      <c r="B672" s="174"/>
      <c r="C672" s="175"/>
      <c r="D672" s="82" t="s">
        <v>59</v>
      </c>
      <c r="E672" s="166" t="s">
        <v>147</v>
      </c>
      <c r="F672" s="166"/>
      <c r="G672" s="53" t="s">
        <v>148</v>
      </c>
      <c r="H672" s="43" t="s">
        <v>103</v>
      </c>
      <c r="I672" s="43">
        <f>I671</f>
        <v>1.0551697530864197E-3</v>
      </c>
      <c r="J672" s="71"/>
      <c r="K672" s="52" t="str">
        <f t="shared" ref="K672:K682" si="156">IF(J672="","",ABS(I672-J672))</f>
        <v/>
      </c>
      <c r="L672" s="75" t="s">
        <v>98</v>
      </c>
      <c r="M672" s="164"/>
      <c r="N672" s="164"/>
      <c r="O672" s="82" t="s">
        <v>118</v>
      </c>
      <c r="P672" s="43">
        <f>S607</f>
        <v>3.7268518518518519E-3</v>
      </c>
      <c r="Q672" s="71"/>
      <c r="R672" s="76" t="str">
        <f>IF(Q672="","",ABS(P672-Q672))</f>
        <v/>
      </c>
      <c r="S672" s="78" t="s">
        <v>98</v>
      </c>
      <c r="T672" s="164"/>
      <c r="U672" s="168"/>
      <c r="V672" s="41" t="s">
        <v>162</v>
      </c>
      <c r="W672" s="43">
        <f>Z604+19/86400</f>
        <v>3.578317901234568E-3</v>
      </c>
      <c r="X672" s="71"/>
      <c r="Y672" s="52" t="str">
        <f>IF(X672="","",ABS(W672-X672))</f>
        <v/>
      </c>
      <c r="Z672" s="78" t="s">
        <v>98</v>
      </c>
      <c r="AA672" s="164"/>
      <c r="AB672" s="169"/>
      <c r="AC672" s="37"/>
      <c r="AD672" s="41"/>
      <c r="AE672" s="41"/>
      <c r="AF672" s="41"/>
    </row>
    <row r="673" spans="1:32" ht="16" customHeight="1" x14ac:dyDescent="0.2">
      <c r="A673" s="37"/>
      <c r="B673" s="174"/>
      <c r="C673" s="175"/>
      <c r="D673" s="82" t="s">
        <v>63</v>
      </c>
      <c r="E673" s="41">
        <v>400</v>
      </c>
      <c r="F673" s="43">
        <f>F604</f>
        <v>1.0551697530864197E-3</v>
      </c>
      <c r="G673" s="53" t="s">
        <v>127</v>
      </c>
      <c r="H673" s="43" t="s">
        <v>104</v>
      </c>
      <c r="I673" s="43">
        <f t="shared" ref="I673:I682" si="157">I672</f>
        <v>1.0551697530864197E-3</v>
      </c>
      <c r="J673" s="71"/>
      <c r="K673" s="52" t="str">
        <f t="shared" si="156"/>
        <v/>
      </c>
      <c r="L673" s="170" t="s">
        <v>112</v>
      </c>
      <c r="M673" s="171"/>
      <c r="N673" s="90"/>
      <c r="O673" s="82" t="s">
        <v>120</v>
      </c>
      <c r="P673" s="43">
        <f>S604</f>
        <v>3.0324074074074073E-3</v>
      </c>
      <c r="Q673" s="71"/>
      <c r="R673" s="76" t="str">
        <f t="shared" ref="R673:R674" si="158">IF(Q673="","",ABS(P673-Q673))</f>
        <v/>
      </c>
      <c r="S673" s="170" t="s">
        <v>112</v>
      </c>
      <c r="T673" s="171"/>
      <c r="U673" s="83"/>
      <c r="V673" s="166" t="s">
        <v>111</v>
      </c>
      <c r="W673" s="166"/>
      <c r="X673" s="166"/>
      <c r="Y673" s="167"/>
      <c r="Z673" s="170" t="s">
        <v>112</v>
      </c>
      <c r="AA673" s="171"/>
      <c r="AB673" s="80"/>
      <c r="AC673" s="37"/>
      <c r="AD673" s="41"/>
      <c r="AE673" s="41"/>
      <c r="AF673" s="41"/>
    </row>
    <row r="674" spans="1:32" ht="16" customHeight="1" x14ac:dyDescent="0.2">
      <c r="A674" s="37"/>
      <c r="B674" s="174"/>
      <c r="C674" s="175"/>
      <c r="D674" s="165" t="s">
        <v>111</v>
      </c>
      <c r="E674" s="166"/>
      <c r="F674" s="166"/>
      <c r="G674" s="167"/>
      <c r="H674" s="43" t="s">
        <v>105</v>
      </c>
      <c r="I674" s="43">
        <f t="shared" si="157"/>
        <v>1.0551697530864197E-3</v>
      </c>
      <c r="J674" s="71"/>
      <c r="K674" s="52" t="str">
        <f t="shared" si="156"/>
        <v/>
      </c>
      <c r="L674" s="163" t="s">
        <v>88</v>
      </c>
      <c r="M674" s="164"/>
      <c r="N674" s="164"/>
      <c r="O674" s="82" t="s">
        <v>122</v>
      </c>
      <c r="P674" s="43">
        <f>S607</f>
        <v>3.7268518518518519E-3</v>
      </c>
      <c r="Q674" s="71"/>
      <c r="R674" s="76" t="str">
        <f t="shared" si="158"/>
        <v/>
      </c>
      <c r="S674" s="163" t="s">
        <v>88</v>
      </c>
      <c r="T674" s="164"/>
      <c r="U674" s="168"/>
      <c r="V674" s="30"/>
      <c r="W674" s="30"/>
      <c r="X674" s="30"/>
      <c r="Y674" s="30"/>
      <c r="Z674" s="163" t="s">
        <v>88</v>
      </c>
      <c r="AA674" s="164"/>
      <c r="AB674" s="169"/>
      <c r="AC674" s="37"/>
      <c r="AD674" s="41"/>
      <c r="AE674" s="41"/>
      <c r="AF674" s="41"/>
    </row>
    <row r="675" spans="1:32" ht="16" customHeight="1" x14ac:dyDescent="0.2">
      <c r="A675" s="37"/>
      <c r="B675" s="174"/>
      <c r="C675" s="175"/>
      <c r="D675" s="84"/>
      <c r="E675" s="43"/>
      <c r="F675" s="43"/>
      <c r="G675" s="53"/>
      <c r="H675" s="43" t="s">
        <v>106</v>
      </c>
      <c r="I675" s="43">
        <f t="shared" si="157"/>
        <v>1.0551697530864197E-3</v>
      </c>
      <c r="J675" s="71"/>
      <c r="K675" s="52" t="str">
        <f t="shared" si="156"/>
        <v/>
      </c>
      <c r="L675" s="163"/>
      <c r="M675" s="164"/>
      <c r="N675" s="164"/>
      <c r="O675" s="165" t="s">
        <v>111</v>
      </c>
      <c r="P675" s="166"/>
      <c r="Q675" s="166"/>
      <c r="R675" s="167"/>
      <c r="S675" s="163"/>
      <c r="T675" s="164"/>
      <c r="U675" s="168"/>
      <c r="V675" s="30"/>
      <c r="W675" s="30"/>
      <c r="X675" s="30"/>
      <c r="Y675" s="30"/>
      <c r="Z675" s="163"/>
      <c r="AA675" s="164"/>
      <c r="AB675" s="169"/>
      <c r="AC675" s="37"/>
      <c r="AD675" s="41"/>
      <c r="AE675" s="41"/>
      <c r="AF675" s="41"/>
    </row>
    <row r="676" spans="1:32" ht="16" customHeight="1" x14ac:dyDescent="0.2">
      <c r="A676" s="37"/>
      <c r="B676" s="174"/>
      <c r="C676" s="175"/>
      <c r="D676" s="84"/>
      <c r="E676" s="43"/>
      <c r="F676" s="43"/>
      <c r="G676" s="53"/>
      <c r="H676" s="43" t="s">
        <v>107</v>
      </c>
      <c r="I676" s="43">
        <f t="shared" si="157"/>
        <v>1.0551697530864197E-3</v>
      </c>
      <c r="J676" s="71"/>
      <c r="K676" s="52" t="str">
        <f t="shared" si="156"/>
        <v/>
      </c>
      <c r="L676" s="41"/>
      <c r="M676" s="41"/>
      <c r="N676" s="30"/>
      <c r="O676" s="82"/>
      <c r="P676" s="43"/>
      <c r="Q676" s="43"/>
      <c r="R676" s="76"/>
      <c r="S676" s="50"/>
      <c r="T676" s="41"/>
      <c r="U676" s="85"/>
      <c r="V676" s="30"/>
      <c r="W676" s="30"/>
      <c r="X676" s="30"/>
      <c r="Y676" s="30"/>
      <c r="Z676" s="50"/>
      <c r="AA676" s="41"/>
      <c r="AB676" s="35"/>
      <c r="AC676" s="37"/>
      <c r="AD676" s="41"/>
      <c r="AE676" s="41"/>
      <c r="AF676" s="41"/>
    </row>
    <row r="677" spans="1:32" ht="16" customHeight="1" x14ac:dyDescent="0.2">
      <c r="A677" s="37"/>
      <c r="B677" s="174"/>
      <c r="C677" s="175"/>
      <c r="D677" s="84"/>
      <c r="E677" s="43"/>
      <c r="F677" s="43"/>
      <c r="G677" s="53"/>
      <c r="H677" s="43" t="s">
        <v>108</v>
      </c>
      <c r="I677" s="43">
        <f t="shared" si="157"/>
        <v>1.0551697530864197E-3</v>
      </c>
      <c r="J677" s="71"/>
      <c r="K677" s="52" t="str">
        <f t="shared" si="156"/>
        <v/>
      </c>
      <c r="L677" s="41"/>
      <c r="M677" s="41"/>
      <c r="N677" s="41"/>
      <c r="O677" s="165"/>
      <c r="P677" s="166"/>
      <c r="Q677" s="166"/>
      <c r="R677" s="167"/>
      <c r="S677" s="50"/>
      <c r="T677" s="41"/>
      <c r="U677" s="85"/>
      <c r="V677" s="30"/>
      <c r="W677" s="30"/>
      <c r="X677" s="30"/>
      <c r="Y677" s="30"/>
      <c r="Z677" s="50"/>
      <c r="AA677" s="41"/>
      <c r="AB677" s="44"/>
      <c r="AC677" s="37"/>
      <c r="AD677" s="41"/>
      <c r="AE677" s="41"/>
      <c r="AF677" s="41"/>
    </row>
    <row r="678" spans="1:32" ht="16" customHeight="1" x14ac:dyDescent="0.2">
      <c r="A678" s="37"/>
      <c r="B678" s="174"/>
      <c r="C678" s="175"/>
      <c r="D678" s="84"/>
      <c r="E678" s="43"/>
      <c r="F678" s="43"/>
      <c r="G678" s="53"/>
      <c r="H678" s="43" t="s">
        <v>109</v>
      </c>
      <c r="I678" s="43">
        <f t="shared" si="157"/>
        <v>1.0551697530864197E-3</v>
      </c>
      <c r="J678" s="71"/>
      <c r="K678" s="52" t="str">
        <f t="shared" si="156"/>
        <v/>
      </c>
      <c r="L678" s="41"/>
      <c r="M678" s="41"/>
      <c r="N678" s="30"/>
      <c r="O678" s="82"/>
      <c r="P678" s="41"/>
      <c r="Q678" s="41"/>
      <c r="R678" s="41"/>
      <c r="S678" s="50"/>
      <c r="T678" s="41"/>
      <c r="U678" s="85"/>
      <c r="V678" s="30"/>
      <c r="W678" s="30"/>
      <c r="X678" s="30"/>
      <c r="Y678" s="30"/>
      <c r="Z678" s="50"/>
      <c r="AA678" s="41"/>
      <c r="AB678" s="35"/>
      <c r="AC678" s="37"/>
      <c r="AD678" s="41"/>
      <c r="AE678" s="41"/>
      <c r="AF678" s="41"/>
    </row>
    <row r="679" spans="1:32" ht="16" customHeight="1" x14ac:dyDescent="0.2">
      <c r="A679" s="37"/>
      <c r="B679" s="174"/>
      <c r="C679" s="175"/>
      <c r="D679" s="84"/>
      <c r="E679" s="43"/>
      <c r="F679" s="43"/>
      <c r="G679" s="53"/>
      <c r="H679" s="43" t="s">
        <v>125</v>
      </c>
      <c r="I679" s="43">
        <f t="shared" si="157"/>
        <v>1.0551697530864197E-3</v>
      </c>
      <c r="J679" s="71"/>
      <c r="K679" s="52" t="str">
        <f t="shared" si="156"/>
        <v/>
      </c>
      <c r="L679" s="41"/>
      <c r="M679" s="41"/>
      <c r="N679" s="41"/>
      <c r="O679" s="82"/>
      <c r="P679" s="41"/>
      <c r="Q679" s="41"/>
      <c r="R679" s="41"/>
      <c r="S679" s="50"/>
      <c r="T679" s="41"/>
      <c r="U679" s="86"/>
      <c r="V679" s="30"/>
      <c r="W679" s="30"/>
      <c r="X679" s="30"/>
      <c r="Y679" s="30"/>
      <c r="Z679" s="50"/>
      <c r="AA679" s="41"/>
      <c r="AB679" s="44"/>
      <c r="AC679" s="37"/>
      <c r="AD679" s="41"/>
      <c r="AE679" s="41"/>
      <c r="AF679" s="41"/>
    </row>
    <row r="680" spans="1:32" ht="16" customHeight="1" x14ac:dyDescent="0.2">
      <c r="A680" s="37"/>
      <c r="B680" s="174"/>
      <c r="C680" s="175"/>
      <c r="D680" s="84"/>
      <c r="E680" s="43"/>
      <c r="F680" s="43"/>
      <c r="G680" s="53"/>
      <c r="H680" s="43" t="s">
        <v>126</v>
      </c>
      <c r="I680" s="43">
        <f t="shared" si="157"/>
        <v>1.0551697530864197E-3</v>
      </c>
      <c r="J680" s="71"/>
      <c r="K680" s="52" t="str">
        <f t="shared" si="156"/>
        <v/>
      </c>
      <c r="L680" s="41"/>
      <c r="M680" s="41"/>
      <c r="N680" s="30"/>
      <c r="O680" s="82"/>
      <c r="P680" s="41"/>
      <c r="Q680" s="41"/>
      <c r="R680" s="41"/>
      <c r="S680" s="50"/>
      <c r="T680" s="41"/>
      <c r="U680" s="85"/>
      <c r="V680" s="30"/>
      <c r="W680" s="30"/>
      <c r="X680" s="30"/>
      <c r="Y680" s="30"/>
      <c r="Z680" s="50"/>
      <c r="AA680" s="41"/>
      <c r="AB680" s="35"/>
      <c r="AC680" s="37"/>
      <c r="AD680" s="41"/>
      <c r="AE680" s="41"/>
      <c r="AF680" s="41"/>
    </row>
    <row r="681" spans="1:32" ht="16" customHeight="1" x14ac:dyDescent="0.2">
      <c r="A681" s="37"/>
      <c r="B681" s="174"/>
      <c r="C681" s="175"/>
      <c r="D681" s="84"/>
      <c r="E681" s="43"/>
      <c r="F681" s="43"/>
      <c r="G681" s="53"/>
      <c r="H681" s="43" t="s">
        <v>141</v>
      </c>
      <c r="I681" s="43">
        <f t="shared" si="157"/>
        <v>1.0551697530864197E-3</v>
      </c>
      <c r="J681" s="71"/>
      <c r="K681" s="52" t="str">
        <f t="shared" si="156"/>
        <v/>
      </c>
      <c r="L681" s="41"/>
      <c r="M681" s="41"/>
      <c r="N681" s="41"/>
      <c r="O681" s="82"/>
      <c r="P681" s="41"/>
      <c r="Q681" s="41"/>
      <c r="R681" s="41"/>
      <c r="S681" s="50"/>
      <c r="T681" s="41"/>
      <c r="U681" s="86"/>
      <c r="V681" s="30"/>
      <c r="W681" s="30"/>
      <c r="X681" s="30"/>
      <c r="Y681" s="30"/>
      <c r="Z681" s="50"/>
      <c r="AA681" s="41"/>
      <c r="AB681" s="44"/>
      <c r="AC681" s="37"/>
      <c r="AD681" s="41"/>
      <c r="AE681" s="41"/>
      <c r="AF681" s="41"/>
    </row>
    <row r="682" spans="1:32" ht="16" customHeight="1" thickBot="1" x14ac:dyDescent="0.25">
      <c r="A682" s="37"/>
      <c r="B682" s="198"/>
      <c r="C682" s="199"/>
      <c r="D682" s="87"/>
      <c r="E682" s="40"/>
      <c r="F682" s="40"/>
      <c r="G682" s="51"/>
      <c r="H682" s="43" t="s">
        <v>142</v>
      </c>
      <c r="I682" s="43">
        <f t="shared" si="157"/>
        <v>1.0551697530864197E-3</v>
      </c>
      <c r="J682" s="72"/>
      <c r="K682" s="52" t="str">
        <f t="shared" si="156"/>
        <v/>
      </c>
      <c r="L682" s="194"/>
      <c r="M682" s="195"/>
      <c r="N682" s="195"/>
      <c r="O682" s="97"/>
      <c r="P682" s="42"/>
      <c r="Q682" s="42"/>
      <c r="R682" s="42"/>
      <c r="S682" s="194"/>
      <c r="T682" s="195"/>
      <c r="U682" s="196"/>
      <c r="V682" s="34"/>
      <c r="W682" s="34"/>
      <c r="X682" s="34"/>
      <c r="Y682" s="34"/>
      <c r="Z682" s="194"/>
      <c r="AA682" s="195"/>
      <c r="AB682" s="197"/>
      <c r="AC682" s="37"/>
      <c r="AD682" s="41"/>
      <c r="AE682" s="41"/>
      <c r="AF682" s="41"/>
    </row>
    <row r="683" spans="1:32" ht="16" customHeight="1" x14ac:dyDescent="0.2">
      <c r="A683" s="37"/>
      <c r="B683" s="172">
        <f>B668+1</f>
        <v>9</v>
      </c>
      <c r="C683" s="173"/>
      <c r="D683" s="178">
        <f>D608+(B683-1)*7</f>
        <v>42710</v>
      </c>
      <c r="E683" s="179"/>
      <c r="F683" s="179"/>
      <c r="G683" s="179"/>
      <c r="H683" s="179"/>
      <c r="I683" s="179"/>
      <c r="J683" s="179"/>
      <c r="K683" s="179"/>
      <c r="L683" s="179"/>
      <c r="M683" s="179"/>
      <c r="N683" s="179"/>
      <c r="O683" s="178">
        <f>O608+(B683-1)*7</f>
        <v>42713</v>
      </c>
      <c r="P683" s="179"/>
      <c r="Q683" s="179"/>
      <c r="R683" s="179"/>
      <c r="S683" s="179"/>
      <c r="T683" s="179"/>
      <c r="U683" s="180"/>
      <c r="V683" s="179">
        <f>V608+(B683-1)*7</f>
        <v>42715</v>
      </c>
      <c r="W683" s="179"/>
      <c r="X683" s="179"/>
      <c r="Y683" s="179"/>
      <c r="Z683" s="179"/>
      <c r="AA683" s="179"/>
      <c r="AB683" s="181"/>
      <c r="AC683" s="37"/>
      <c r="AD683" s="41"/>
      <c r="AE683" s="41"/>
      <c r="AF683" s="41"/>
    </row>
    <row r="684" spans="1:32" ht="16" customHeight="1" x14ac:dyDescent="0.2">
      <c r="A684" s="37"/>
      <c r="B684" s="174"/>
      <c r="C684" s="175"/>
      <c r="D684" s="182" t="s">
        <v>99</v>
      </c>
      <c r="E684" s="183"/>
      <c r="F684" s="183"/>
      <c r="G684" s="184"/>
      <c r="H684" s="185" t="s">
        <v>101</v>
      </c>
      <c r="I684" s="183"/>
      <c r="J684" s="183"/>
      <c r="K684" s="184"/>
      <c r="L684" s="183" t="s">
        <v>100</v>
      </c>
      <c r="M684" s="183"/>
      <c r="N684" s="183"/>
      <c r="O684" s="182" t="s">
        <v>99</v>
      </c>
      <c r="P684" s="183"/>
      <c r="Q684" s="183"/>
      <c r="R684" s="183"/>
      <c r="S684" s="185" t="s">
        <v>100</v>
      </c>
      <c r="T684" s="183"/>
      <c r="U684" s="186"/>
      <c r="V684" s="183" t="s">
        <v>99</v>
      </c>
      <c r="W684" s="183"/>
      <c r="X684" s="183"/>
      <c r="Y684" s="183"/>
      <c r="Z684" s="185" t="s">
        <v>100</v>
      </c>
      <c r="AA684" s="183"/>
      <c r="AB684" s="187"/>
      <c r="AC684" s="37"/>
      <c r="AD684" s="41"/>
      <c r="AE684" s="41"/>
      <c r="AF684" s="41"/>
    </row>
    <row r="685" spans="1:32" ht="16" customHeight="1" x14ac:dyDescent="0.2">
      <c r="A685" s="37"/>
      <c r="B685" s="174"/>
      <c r="C685" s="175"/>
      <c r="D685" s="188" t="s">
        <v>110</v>
      </c>
      <c r="E685" s="189"/>
      <c r="F685" s="189"/>
      <c r="G685" s="190"/>
      <c r="H685" s="43" t="s">
        <v>113</v>
      </c>
      <c r="I685" s="43" t="s">
        <v>114</v>
      </c>
      <c r="J685" s="71" t="s">
        <v>115</v>
      </c>
      <c r="K685" s="53" t="s">
        <v>116</v>
      </c>
      <c r="L685" s="74" t="s">
        <v>96</v>
      </c>
      <c r="M685" s="191"/>
      <c r="N685" s="191"/>
      <c r="O685" s="188" t="s">
        <v>110</v>
      </c>
      <c r="P685" s="189"/>
      <c r="Q685" s="189"/>
      <c r="R685" s="189"/>
      <c r="S685" s="77" t="s">
        <v>96</v>
      </c>
      <c r="T685" s="191"/>
      <c r="U685" s="192"/>
      <c r="V685" s="189" t="s">
        <v>110</v>
      </c>
      <c r="W685" s="189"/>
      <c r="X685" s="189"/>
      <c r="Y685" s="189"/>
      <c r="Z685" s="77" t="s">
        <v>96</v>
      </c>
      <c r="AA685" s="191"/>
      <c r="AB685" s="193"/>
      <c r="AC685" s="37"/>
      <c r="AD685" s="41"/>
      <c r="AE685" s="41"/>
      <c r="AF685" s="41"/>
    </row>
    <row r="686" spans="1:32" ht="16" customHeight="1" x14ac:dyDescent="0.2">
      <c r="A686" s="37"/>
      <c r="B686" s="174"/>
      <c r="C686" s="175"/>
      <c r="D686" s="82" t="s">
        <v>53</v>
      </c>
      <c r="E686" s="41" t="s">
        <v>54</v>
      </c>
      <c r="F686" s="41" t="s">
        <v>90</v>
      </c>
      <c r="G686" s="53" t="s">
        <v>55</v>
      </c>
      <c r="H686" s="43" t="s">
        <v>102</v>
      </c>
      <c r="I686" s="43">
        <f>F687</f>
        <v>4.5076195987654322E-3</v>
      </c>
      <c r="J686" s="71"/>
      <c r="K686" s="52" t="str">
        <f>IF(J686="","",ABS(I686-J686))</f>
        <v/>
      </c>
      <c r="L686" s="75" t="s">
        <v>97</v>
      </c>
      <c r="M686" s="164"/>
      <c r="N686" s="164"/>
      <c r="O686" s="82" t="s">
        <v>54</v>
      </c>
      <c r="P686" s="41" t="s">
        <v>65</v>
      </c>
      <c r="Q686" s="67" t="s">
        <v>117</v>
      </c>
      <c r="R686" s="41" t="s">
        <v>116</v>
      </c>
      <c r="S686" s="78" t="s">
        <v>97</v>
      </c>
      <c r="T686" s="164"/>
      <c r="U686" s="168"/>
      <c r="V686" s="41" t="s">
        <v>54</v>
      </c>
      <c r="W686" s="41" t="s">
        <v>65</v>
      </c>
      <c r="X686" s="67" t="s">
        <v>117</v>
      </c>
      <c r="Y686" s="41" t="s">
        <v>116</v>
      </c>
      <c r="Z686" s="78" t="s">
        <v>97</v>
      </c>
      <c r="AA686" s="164"/>
      <c r="AB686" s="169"/>
      <c r="AC686" s="37"/>
      <c r="AD686" s="41"/>
      <c r="AE686" s="41"/>
      <c r="AF686" s="41"/>
    </row>
    <row r="687" spans="1:32" ht="16" customHeight="1" x14ac:dyDescent="0.2">
      <c r="A687" s="37"/>
      <c r="B687" s="174"/>
      <c r="C687" s="175"/>
      <c r="D687" s="82" t="s">
        <v>59</v>
      </c>
      <c r="E687" s="41">
        <v>1600</v>
      </c>
      <c r="F687" s="43">
        <f>L605</f>
        <v>4.5076195987654322E-3</v>
      </c>
      <c r="G687" s="53" t="s">
        <v>129</v>
      </c>
      <c r="H687" s="43" t="s">
        <v>103</v>
      </c>
      <c r="I687" s="43">
        <f>F687</f>
        <v>4.5076195987654322E-3</v>
      </c>
      <c r="J687" s="71"/>
      <c r="K687" s="52" t="str">
        <f t="shared" ref="K687:K690" si="159">IF(J687="","",ABS(I687-J687))</f>
        <v/>
      </c>
      <c r="L687" s="75" t="s">
        <v>98</v>
      </c>
      <c r="M687" s="164"/>
      <c r="N687" s="164"/>
      <c r="O687" s="82" t="s">
        <v>122</v>
      </c>
      <c r="P687" s="43">
        <f>S607</f>
        <v>3.7268518518518519E-3</v>
      </c>
      <c r="Q687" s="71"/>
      <c r="R687" s="52" t="str">
        <f>IF(Q687="","",ABS(P687-Q687))</f>
        <v/>
      </c>
      <c r="S687" s="78" t="s">
        <v>98</v>
      </c>
      <c r="T687" s="164"/>
      <c r="U687" s="168"/>
      <c r="V687" s="41" t="s">
        <v>159</v>
      </c>
      <c r="W687" s="43">
        <f>Z604+19/86400</f>
        <v>3.578317901234568E-3</v>
      </c>
      <c r="X687" s="71"/>
      <c r="Y687" s="52" t="str">
        <f>IF(X687="","",ABS(W687-X687))</f>
        <v/>
      </c>
      <c r="Z687" s="78" t="s">
        <v>98</v>
      </c>
      <c r="AA687" s="164"/>
      <c r="AB687" s="169"/>
      <c r="AC687" s="37"/>
      <c r="AD687" s="41"/>
      <c r="AE687" s="41"/>
      <c r="AF687" s="41"/>
    </row>
    <row r="688" spans="1:32" ht="16" customHeight="1" x14ac:dyDescent="0.2">
      <c r="A688" s="37"/>
      <c r="B688" s="174"/>
      <c r="C688" s="175"/>
      <c r="D688" s="82" t="s">
        <v>59</v>
      </c>
      <c r="E688" s="41">
        <v>800</v>
      </c>
      <c r="F688" s="43">
        <f>F606</f>
        <v>2.1566358024691359E-3</v>
      </c>
      <c r="G688" s="53" t="s">
        <v>129</v>
      </c>
      <c r="H688" s="43" t="s">
        <v>104</v>
      </c>
      <c r="I688" s="43">
        <f>F688</f>
        <v>2.1566358024691359E-3</v>
      </c>
      <c r="J688" s="71"/>
      <c r="K688" s="52" t="str">
        <f t="shared" si="159"/>
        <v/>
      </c>
      <c r="L688" s="170" t="s">
        <v>112</v>
      </c>
      <c r="M688" s="171"/>
      <c r="N688" s="90"/>
      <c r="O688" s="82" t="s">
        <v>123</v>
      </c>
      <c r="P688" s="43">
        <f>S605</f>
        <v>3.1481481481481482E-3</v>
      </c>
      <c r="Q688" s="71"/>
      <c r="R688" s="52" t="str">
        <f t="shared" ref="R688:R689" si="160">IF(Q688="","",ABS(P688-Q688))</f>
        <v/>
      </c>
      <c r="S688" s="170" t="s">
        <v>112</v>
      </c>
      <c r="T688" s="171"/>
      <c r="U688" s="83"/>
      <c r="V688" s="166" t="s">
        <v>111</v>
      </c>
      <c r="W688" s="166"/>
      <c r="X688" s="166"/>
      <c r="Y688" s="167"/>
      <c r="Z688" s="170" t="s">
        <v>112</v>
      </c>
      <c r="AA688" s="171"/>
      <c r="AB688" s="80"/>
      <c r="AC688" s="37"/>
      <c r="AD688" s="41"/>
      <c r="AE688" s="41"/>
      <c r="AF688" s="41"/>
    </row>
    <row r="689" spans="1:32" ht="16" customHeight="1" x14ac:dyDescent="0.2">
      <c r="A689" s="37"/>
      <c r="B689" s="174"/>
      <c r="C689" s="175"/>
      <c r="D689" s="165" t="s">
        <v>111</v>
      </c>
      <c r="E689" s="166"/>
      <c r="F689" s="166"/>
      <c r="G689" s="167"/>
      <c r="H689" s="43" t="s">
        <v>105</v>
      </c>
      <c r="I689" s="43">
        <f>F688</f>
        <v>2.1566358024691359E-3</v>
      </c>
      <c r="J689" s="71"/>
      <c r="K689" s="52" t="str">
        <f t="shared" si="159"/>
        <v/>
      </c>
      <c r="L689" s="163" t="s">
        <v>88</v>
      </c>
      <c r="M689" s="164"/>
      <c r="N689" s="164"/>
      <c r="O689" s="82" t="s">
        <v>122</v>
      </c>
      <c r="P689" s="43">
        <f>S607</f>
        <v>3.7268518518518519E-3</v>
      </c>
      <c r="Q689" s="71"/>
      <c r="R689" s="52" t="str">
        <f t="shared" si="160"/>
        <v/>
      </c>
      <c r="S689" s="163" t="s">
        <v>88</v>
      </c>
      <c r="T689" s="164"/>
      <c r="U689" s="168"/>
      <c r="V689" s="30"/>
      <c r="W689" s="30"/>
      <c r="X689" s="30"/>
      <c r="Y689" s="30"/>
      <c r="Z689" s="163" t="s">
        <v>88</v>
      </c>
      <c r="AA689" s="164"/>
      <c r="AB689" s="169"/>
      <c r="AC689" s="37"/>
      <c r="AD689" s="41"/>
      <c r="AE689" s="41"/>
      <c r="AF689" s="41"/>
    </row>
    <row r="690" spans="1:32" ht="16" customHeight="1" thickBot="1" x14ac:dyDescent="0.25">
      <c r="A690" s="37"/>
      <c r="B690" s="174"/>
      <c r="C690" s="175"/>
      <c r="D690" s="84"/>
      <c r="E690" s="43"/>
      <c r="F690" s="43"/>
      <c r="G690" s="53"/>
      <c r="H690" s="43"/>
      <c r="I690" s="43"/>
      <c r="J690" s="43"/>
      <c r="K690" s="52" t="str">
        <f t="shared" si="159"/>
        <v/>
      </c>
      <c r="L690" s="163"/>
      <c r="M690" s="164"/>
      <c r="N690" s="164"/>
      <c r="O690" s="165" t="s">
        <v>111</v>
      </c>
      <c r="P690" s="166"/>
      <c r="Q690" s="166"/>
      <c r="R690" s="167"/>
      <c r="S690" s="163"/>
      <c r="T690" s="164"/>
      <c r="U690" s="168"/>
      <c r="V690" s="30"/>
      <c r="W690" s="30"/>
      <c r="X690" s="30"/>
      <c r="Y690" s="30"/>
      <c r="Z690" s="163"/>
      <c r="AA690" s="164"/>
      <c r="AB690" s="169"/>
      <c r="AC690" s="37"/>
      <c r="AD690" s="41"/>
      <c r="AE690" s="41"/>
      <c r="AF690" s="41"/>
    </row>
    <row r="691" spans="1:32" ht="16" customHeight="1" x14ac:dyDescent="0.2">
      <c r="A691" s="37"/>
      <c r="B691" s="172">
        <f>B683+1</f>
        <v>10</v>
      </c>
      <c r="C691" s="173"/>
      <c r="D691" s="178">
        <f>D608+(B691-1)*7</f>
        <v>42717</v>
      </c>
      <c r="E691" s="179"/>
      <c r="F691" s="179"/>
      <c r="G691" s="179"/>
      <c r="H691" s="179"/>
      <c r="I691" s="179"/>
      <c r="J691" s="179"/>
      <c r="K691" s="179"/>
      <c r="L691" s="179"/>
      <c r="M691" s="179"/>
      <c r="N691" s="179"/>
      <c r="O691" s="178">
        <f>O608+(B691-1)*7</f>
        <v>42720</v>
      </c>
      <c r="P691" s="179"/>
      <c r="Q691" s="179"/>
      <c r="R691" s="179"/>
      <c r="S691" s="179"/>
      <c r="T691" s="179"/>
      <c r="U691" s="180"/>
      <c r="V691" s="179">
        <f>V608+(B691-1)*7</f>
        <v>42722</v>
      </c>
      <c r="W691" s="179"/>
      <c r="X691" s="179"/>
      <c r="Y691" s="179"/>
      <c r="Z691" s="179"/>
      <c r="AA691" s="179"/>
      <c r="AB691" s="181"/>
      <c r="AC691" s="37"/>
      <c r="AD691" s="41"/>
      <c r="AE691" s="41"/>
      <c r="AF691" s="41"/>
    </row>
    <row r="692" spans="1:32" ht="16" customHeight="1" x14ac:dyDescent="0.2">
      <c r="A692" s="37"/>
      <c r="B692" s="174"/>
      <c r="C692" s="175"/>
      <c r="D692" s="182" t="s">
        <v>99</v>
      </c>
      <c r="E692" s="183"/>
      <c r="F692" s="183"/>
      <c r="G692" s="184"/>
      <c r="H692" s="185" t="s">
        <v>101</v>
      </c>
      <c r="I692" s="183"/>
      <c r="J692" s="183"/>
      <c r="K692" s="184"/>
      <c r="L692" s="183" t="s">
        <v>100</v>
      </c>
      <c r="M692" s="183"/>
      <c r="N692" s="183"/>
      <c r="O692" s="182" t="s">
        <v>99</v>
      </c>
      <c r="P692" s="183"/>
      <c r="Q692" s="183"/>
      <c r="R692" s="183"/>
      <c r="S692" s="185" t="s">
        <v>100</v>
      </c>
      <c r="T692" s="183"/>
      <c r="U692" s="186"/>
      <c r="V692" s="183" t="s">
        <v>99</v>
      </c>
      <c r="W692" s="183"/>
      <c r="X692" s="183"/>
      <c r="Y692" s="183"/>
      <c r="Z692" s="185" t="s">
        <v>100</v>
      </c>
      <c r="AA692" s="183"/>
      <c r="AB692" s="187"/>
      <c r="AC692" s="37"/>
      <c r="AD692" s="41"/>
      <c r="AE692" s="41"/>
      <c r="AF692" s="41"/>
    </row>
    <row r="693" spans="1:32" ht="16" customHeight="1" x14ac:dyDescent="0.2">
      <c r="A693" s="37"/>
      <c r="B693" s="174"/>
      <c r="C693" s="175"/>
      <c r="D693" s="188" t="s">
        <v>110</v>
      </c>
      <c r="E693" s="189"/>
      <c r="F693" s="189"/>
      <c r="G693" s="190"/>
      <c r="H693" s="43" t="s">
        <v>113</v>
      </c>
      <c r="I693" s="43" t="s">
        <v>114</v>
      </c>
      <c r="J693" s="71" t="s">
        <v>115</v>
      </c>
      <c r="K693" s="53" t="s">
        <v>116</v>
      </c>
      <c r="L693" s="77" t="s">
        <v>96</v>
      </c>
      <c r="M693" s="191"/>
      <c r="N693" s="192"/>
      <c r="O693" s="189" t="s">
        <v>110</v>
      </c>
      <c r="P693" s="189"/>
      <c r="Q693" s="189"/>
      <c r="R693" s="189"/>
      <c r="S693" s="77" t="s">
        <v>96</v>
      </c>
      <c r="T693" s="191"/>
      <c r="U693" s="192"/>
      <c r="V693" s="189" t="s">
        <v>110</v>
      </c>
      <c r="W693" s="189"/>
      <c r="X693" s="189"/>
      <c r="Y693" s="189"/>
      <c r="Z693" s="77" t="s">
        <v>96</v>
      </c>
      <c r="AA693" s="191"/>
      <c r="AB693" s="193"/>
      <c r="AC693" s="37"/>
      <c r="AD693" s="41"/>
      <c r="AE693" s="41"/>
      <c r="AF693" s="41"/>
    </row>
    <row r="694" spans="1:32" ht="16" customHeight="1" x14ac:dyDescent="0.2">
      <c r="A694" s="37"/>
      <c r="B694" s="174"/>
      <c r="C694" s="175"/>
      <c r="D694" s="82" t="s">
        <v>53</v>
      </c>
      <c r="E694" s="41" t="s">
        <v>54</v>
      </c>
      <c r="F694" s="41" t="s">
        <v>90</v>
      </c>
      <c r="G694" s="53" t="s">
        <v>55</v>
      </c>
      <c r="H694" s="43" t="s">
        <v>102</v>
      </c>
      <c r="I694" s="43">
        <f>F695</f>
        <v>3.3135609567901229E-3</v>
      </c>
      <c r="J694" s="71"/>
      <c r="K694" s="52" t="str">
        <f>IF(J694="","",ABS(I694-J694))</f>
        <v/>
      </c>
      <c r="L694" s="78" t="s">
        <v>97</v>
      </c>
      <c r="M694" s="164"/>
      <c r="N694" s="168"/>
      <c r="O694" s="41" t="s">
        <v>54</v>
      </c>
      <c r="P694" s="41" t="s">
        <v>65</v>
      </c>
      <c r="Q694" s="67" t="s">
        <v>117</v>
      </c>
      <c r="R694" s="41" t="s">
        <v>116</v>
      </c>
      <c r="S694" s="78" t="s">
        <v>97</v>
      </c>
      <c r="T694" s="164"/>
      <c r="U694" s="168"/>
      <c r="V694" s="41" t="s">
        <v>54</v>
      </c>
      <c r="W694" s="41" t="s">
        <v>65</v>
      </c>
      <c r="X694" s="67" t="s">
        <v>117</v>
      </c>
      <c r="Y694" s="41" t="s">
        <v>116</v>
      </c>
      <c r="Z694" s="78" t="s">
        <v>97</v>
      </c>
      <c r="AA694" s="164"/>
      <c r="AB694" s="169"/>
      <c r="AC694" s="37"/>
      <c r="AD694" s="41"/>
      <c r="AE694" s="41"/>
      <c r="AF694" s="41"/>
    </row>
    <row r="695" spans="1:32" ht="16" customHeight="1" x14ac:dyDescent="0.2">
      <c r="A695" s="37"/>
      <c r="B695" s="174"/>
      <c r="C695" s="175"/>
      <c r="D695" s="82" t="s">
        <v>61</v>
      </c>
      <c r="E695" s="41">
        <v>1200</v>
      </c>
      <c r="F695" s="43">
        <f>L604</f>
        <v>3.3135609567901229E-3</v>
      </c>
      <c r="G695" s="53" t="s">
        <v>145</v>
      </c>
      <c r="H695" s="43" t="s">
        <v>103</v>
      </c>
      <c r="I695" s="43">
        <f>F695</f>
        <v>3.3135609567901229E-3</v>
      </c>
      <c r="J695" s="71"/>
      <c r="K695" s="52" t="str">
        <f t="shared" ref="K695:K698" si="161">IF(J695="","",ABS(I695-J695))</f>
        <v/>
      </c>
      <c r="L695" s="78" t="s">
        <v>98</v>
      </c>
      <c r="M695" s="164"/>
      <c r="N695" s="168"/>
      <c r="O695" s="41" t="s">
        <v>139</v>
      </c>
      <c r="P695" s="43">
        <f>Z604</f>
        <v>3.3584104938271606E-3</v>
      </c>
      <c r="Q695" s="71"/>
      <c r="R695" s="52" t="str">
        <f>IF(Q695="","",ABS(P695-Q695))</f>
        <v/>
      </c>
      <c r="S695" s="78" t="s">
        <v>98</v>
      </c>
      <c r="T695" s="164"/>
      <c r="U695" s="168"/>
      <c r="V695" s="41" t="s">
        <v>157</v>
      </c>
      <c r="W695" s="43">
        <f>Z604+9/86400</f>
        <v>3.4625771604938271E-3</v>
      </c>
      <c r="X695" s="71"/>
      <c r="Y695" s="52" t="str">
        <f>IF(X695="","",ABS(W695-X695))</f>
        <v/>
      </c>
      <c r="Z695" s="78" t="s">
        <v>98</v>
      </c>
      <c r="AA695" s="164"/>
      <c r="AB695" s="169"/>
      <c r="AC695" s="37"/>
      <c r="AD695" s="41"/>
      <c r="AE695" s="41"/>
      <c r="AF695" s="41"/>
    </row>
    <row r="696" spans="1:32" ht="16" customHeight="1" x14ac:dyDescent="0.2">
      <c r="A696" s="37"/>
      <c r="B696" s="174"/>
      <c r="C696" s="175"/>
      <c r="D696" s="165" t="s">
        <v>111</v>
      </c>
      <c r="E696" s="166"/>
      <c r="F696" s="166"/>
      <c r="G696" s="167"/>
      <c r="H696" s="43" t="s">
        <v>104</v>
      </c>
      <c r="I696" s="43">
        <f>I695</f>
        <v>3.3135609567901229E-3</v>
      </c>
      <c r="J696" s="71"/>
      <c r="K696" s="52" t="str">
        <f t="shared" si="161"/>
        <v/>
      </c>
      <c r="L696" s="170" t="s">
        <v>112</v>
      </c>
      <c r="M696" s="171"/>
      <c r="N696" s="103"/>
      <c r="O696" s="166" t="s">
        <v>111</v>
      </c>
      <c r="P696" s="166"/>
      <c r="Q696" s="166"/>
      <c r="R696" s="167"/>
      <c r="S696" s="170" t="s">
        <v>112</v>
      </c>
      <c r="T696" s="171"/>
      <c r="U696" s="83"/>
      <c r="V696" s="166" t="s">
        <v>111</v>
      </c>
      <c r="W696" s="166"/>
      <c r="X696" s="166"/>
      <c r="Y696" s="167"/>
      <c r="Z696" s="170" t="s">
        <v>112</v>
      </c>
      <c r="AA696" s="171"/>
      <c r="AB696" s="80"/>
      <c r="AC696" s="37"/>
      <c r="AD696" s="41"/>
      <c r="AE696" s="41"/>
      <c r="AF696" s="41"/>
    </row>
    <row r="697" spans="1:32" ht="16" customHeight="1" x14ac:dyDescent="0.2">
      <c r="A697" s="37"/>
      <c r="B697" s="174"/>
      <c r="C697" s="175"/>
      <c r="D697" s="165"/>
      <c r="E697" s="166"/>
      <c r="F697" s="166"/>
      <c r="G697" s="167"/>
      <c r="H697" s="43" t="s">
        <v>105</v>
      </c>
      <c r="I697" s="43">
        <f>I696</f>
        <v>3.3135609567901229E-3</v>
      </c>
      <c r="J697" s="71"/>
      <c r="K697" s="52" t="str">
        <f t="shared" si="161"/>
        <v/>
      </c>
      <c r="L697" s="163" t="s">
        <v>88</v>
      </c>
      <c r="M697" s="164"/>
      <c r="N697" s="168"/>
      <c r="O697" s="41"/>
      <c r="P697" s="43"/>
      <c r="Q697" s="43"/>
      <c r="R697" s="52"/>
      <c r="S697" s="163" t="s">
        <v>88</v>
      </c>
      <c r="T697" s="164"/>
      <c r="U697" s="168"/>
      <c r="V697" s="30"/>
      <c r="W697" s="30"/>
      <c r="X697" s="30"/>
      <c r="Y697" s="30"/>
      <c r="Z697" s="163" t="s">
        <v>88</v>
      </c>
      <c r="AA697" s="164"/>
      <c r="AB697" s="169"/>
      <c r="AC697" s="37"/>
      <c r="AD697" s="41"/>
      <c r="AE697" s="41"/>
      <c r="AF697" s="41"/>
    </row>
    <row r="698" spans="1:32" ht="16" customHeight="1" thickBot="1" x14ac:dyDescent="0.25">
      <c r="A698" s="37"/>
      <c r="B698" s="174"/>
      <c r="C698" s="175"/>
      <c r="D698" s="84"/>
      <c r="E698" s="43"/>
      <c r="F698" s="43"/>
      <c r="G698" s="53"/>
      <c r="H698" s="43"/>
      <c r="I698" s="43"/>
      <c r="J698" s="43"/>
      <c r="K698" s="52" t="str">
        <f t="shared" si="161"/>
        <v/>
      </c>
      <c r="L698" s="163"/>
      <c r="M698" s="164"/>
      <c r="N698" s="164"/>
      <c r="O698" s="165"/>
      <c r="P698" s="166"/>
      <c r="Q698" s="166"/>
      <c r="R698" s="167"/>
      <c r="S698" s="163"/>
      <c r="T698" s="164"/>
      <c r="U698" s="168"/>
      <c r="V698" s="30"/>
      <c r="W698" s="30"/>
      <c r="X698" s="30"/>
      <c r="Y698" s="30"/>
      <c r="Z698" s="163"/>
      <c r="AA698" s="164"/>
      <c r="AB698" s="169"/>
      <c r="AC698" s="37"/>
      <c r="AD698" s="41"/>
      <c r="AE698" s="41"/>
      <c r="AF698" s="41"/>
    </row>
    <row r="699" spans="1:32" ht="16" customHeight="1" x14ac:dyDescent="0.2">
      <c r="A699" s="37"/>
      <c r="B699" s="172">
        <f>B691+1</f>
        <v>11</v>
      </c>
      <c r="C699" s="173"/>
      <c r="D699" s="178">
        <f>D608+(B699-1)*7</f>
        <v>42724</v>
      </c>
      <c r="E699" s="179"/>
      <c r="F699" s="179"/>
      <c r="G699" s="179"/>
      <c r="H699" s="179"/>
      <c r="I699" s="179"/>
      <c r="J699" s="179"/>
      <c r="K699" s="179"/>
      <c r="L699" s="179"/>
      <c r="M699" s="179"/>
      <c r="N699" s="179"/>
      <c r="O699" s="178">
        <f>O608+(B699-1)*7</f>
        <v>42727</v>
      </c>
      <c r="P699" s="179"/>
      <c r="Q699" s="179"/>
      <c r="R699" s="179"/>
      <c r="S699" s="179"/>
      <c r="T699" s="179"/>
      <c r="U699" s="180"/>
      <c r="V699" s="179">
        <f>V608+(B699-1)*7</f>
        <v>42729</v>
      </c>
      <c r="W699" s="179"/>
      <c r="X699" s="179"/>
      <c r="Y699" s="179"/>
      <c r="Z699" s="179"/>
      <c r="AA699" s="179"/>
      <c r="AB699" s="181"/>
      <c r="AC699" s="37"/>
      <c r="AD699" s="41"/>
      <c r="AE699" s="41"/>
      <c r="AF699" s="41"/>
    </row>
    <row r="700" spans="1:32" ht="16" customHeight="1" x14ac:dyDescent="0.2">
      <c r="A700" s="37"/>
      <c r="B700" s="174"/>
      <c r="C700" s="175"/>
      <c r="D700" s="182" t="s">
        <v>99</v>
      </c>
      <c r="E700" s="183"/>
      <c r="F700" s="183"/>
      <c r="G700" s="184"/>
      <c r="H700" s="185" t="s">
        <v>101</v>
      </c>
      <c r="I700" s="183"/>
      <c r="J700" s="183"/>
      <c r="K700" s="184"/>
      <c r="L700" s="183" t="s">
        <v>100</v>
      </c>
      <c r="M700" s="183"/>
      <c r="N700" s="183"/>
      <c r="O700" s="182" t="s">
        <v>99</v>
      </c>
      <c r="P700" s="183"/>
      <c r="Q700" s="183"/>
      <c r="R700" s="183"/>
      <c r="S700" s="185" t="s">
        <v>100</v>
      </c>
      <c r="T700" s="183"/>
      <c r="U700" s="186"/>
      <c r="V700" s="183" t="s">
        <v>99</v>
      </c>
      <c r="W700" s="183"/>
      <c r="X700" s="183"/>
      <c r="Y700" s="183"/>
      <c r="Z700" s="185" t="s">
        <v>100</v>
      </c>
      <c r="AA700" s="183"/>
      <c r="AB700" s="187"/>
      <c r="AC700" s="37"/>
      <c r="AD700" s="41"/>
      <c r="AE700" s="41"/>
      <c r="AF700" s="41"/>
    </row>
    <row r="701" spans="1:32" ht="16" customHeight="1" x14ac:dyDescent="0.2">
      <c r="A701" s="37"/>
      <c r="B701" s="174"/>
      <c r="C701" s="175"/>
      <c r="D701" s="188" t="s">
        <v>110</v>
      </c>
      <c r="E701" s="189"/>
      <c r="F701" s="189"/>
      <c r="G701" s="190"/>
      <c r="H701" s="43" t="s">
        <v>113</v>
      </c>
      <c r="I701" s="43" t="s">
        <v>114</v>
      </c>
      <c r="J701" s="71" t="s">
        <v>115</v>
      </c>
      <c r="K701" s="53" t="s">
        <v>116</v>
      </c>
      <c r="L701" s="74" t="s">
        <v>96</v>
      </c>
      <c r="M701" s="191"/>
      <c r="N701" s="191"/>
      <c r="O701" s="188" t="s">
        <v>110</v>
      </c>
      <c r="P701" s="189"/>
      <c r="Q701" s="189"/>
      <c r="R701" s="189"/>
      <c r="S701" s="77" t="s">
        <v>96</v>
      </c>
      <c r="T701" s="191"/>
      <c r="U701" s="192"/>
      <c r="V701" s="189" t="s">
        <v>110</v>
      </c>
      <c r="W701" s="189"/>
      <c r="X701" s="189"/>
      <c r="Y701" s="189"/>
      <c r="Z701" s="77" t="s">
        <v>96</v>
      </c>
      <c r="AA701" s="191"/>
      <c r="AB701" s="193"/>
      <c r="AC701" s="37"/>
      <c r="AD701" s="41"/>
      <c r="AE701" s="41"/>
      <c r="AF701" s="41"/>
    </row>
    <row r="702" spans="1:32" ht="16" customHeight="1" x14ac:dyDescent="0.2">
      <c r="A702" s="37"/>
      <c r="B702" s="174"/>
      <c r="C702" s="175"/>
      <c r="D702" s="82" t="s">
        <v>53</v>
      </c>
      <c r="E702" s="41" t="s">
        <v>54</v>
      </c>
      <c r="F702" s="41" t="s">
        <v>90</v>
      </c>
      <c r="G702" s="53" t="s">
        <v>55</v>
      </c>
      <c r="H702" s="43" t="s">
        <v>102</v>
      </c>
      <c r="I702" s="43">
        <f>F703</f>
        <v>2.7247299382716049E-3</v>
      </c>
      <c r="J702" s="71"/>
      <c r="K702" s="52" t="str">
        <f>IF(J702="","",ABS(I702-J702))</f>
        <v/>
      </c>
      <c r="L702" s="75" t="s">
        <v>97</v>
      </c>
      <c r="M702" s="164"/>
      <c r="N702" s="164"/>
      <c r="O702" s="82" t="s">
        <v>54</v>
      </c>
      <c r="P702" s="41" t="s">
        <v>65</v>
      </c>
      <c r="Q702" s="67" t="s">
        <v>117</v>
      </c>
      <c r="R702" s="41" t="s">
        <v>116</v>
      </c>
      <c r="S702" s="78" t="s">
        <v>97</v>
      </c>
      <c r="T702" s="164"/>
      <c r="U702" s="168"/>
      <c r="V702" s="41" t="s">
        <v>54</v>
      </c>
      <c r="W702" s="41" t="s">
        <v>65</v>
      </c>
      <c r="X702" s="67" t="s">
        <v>117</v>
      </c>
      <c r="Y702" s="41" t="s">
        <v>116</v>
      </c>
      <c r="Z702" s="78" t="s">
        <v>97</v>
      </c>
      <c r="AA702" s="164"/>
      <c r="AB702" s="169"/>
      <c r="AC702" s="37"/>
      <c r="AD702" s="41"/>
      <c r="AE702" s="41"/>
      <c r="AF702" s="41"/>
    </row>
    <row r="703" spans="1:32" ht="16" customHeight="1" x14ac:dyDescent="0.2">
      <c r="A703" s="37"/>
      <c r="B703" s="174"/>
      <c r="C703" s="175"/>
      <c r="D703" s="82" t="s">
        <v>60</v>
      </c>
      <c r="E703" s="41">
        <v>1000</v>
      </c>
      <c r="F703" s="43">
        <f>F607</f>
        <v>2.7247299382716049E-3</v>
      </c>
      <c r="G703" s="53" t="s">
        <v>57</v>
      </c>
      <c r="H703" s="43" t="s">
        <v>103</v>
      </c>
      <c r="I703" s="43">
        <f>F704</f>
        <v>5.6925154320987652E-3</v>
      </c>
      <c r="J703" s="71"/>
      <c r="K703" s="52" t="str">
        <f t="shared" ref="K703:K706" si="162">IF(J703="","",ABS(I703-J703))</f>
        <v/>
      </c>
      <c r="L703" s="75" t="s">
        <v>98</v>
      </c>
      <c r="M703" s="164"/>
      <c r="N703" s="164"/>
      <c r="O703" s="82" t="s">
        <v>122</v>
      </c>
      <c r="P703" s="43">
        <f>S607</f>
        <v>3.7268518518518519E-3</v>
      </c>
      <c r="Q703" s="71"/>
      <c r="R703" s="52" t="str">
        <f>IF(Q703="","",ABS(P703-Q703))</f>
        <v/>
      </c>
      <c r="S703" s="78" t="s">
        <v>98</v>
      </c>
      <c r="T703" s="164"/>
      <c r="U703" s="168"/>
      <c r="V703" s="41" t="s">
        <v>159</v>
      </c>
      <c r="W703" s="43">
        <f>Z604+19/86400</f>
        <v>3.578317901234568E-3</v>
      </c>
      <c r="X703" s="71"/>
      <c r="Y703" s="52" t="str">
        <f>IF(X703="","",ABS(W703-X703))</f>
        <v/>
      </c>
      <c r="Z703" s="78" t="s">
        <v>98</v>
      </c>
      <c r="AA703" s="164"/>
      <c r="AB703" s="169"/>
      <c r="AC703" s="37"/>
      <c r="AD703" s="41"/>
      <c r="AE703" s="41"/>
      <c r="AF703" s="41"/>
    </row>
    <row r="704" spans="1:32" ht="16" customHeight="1" x14ac:dyDescent="0.2">
      <c r="A704" s="37"/>
      <c r="B704" s="174"/>
      <c r="C704" s="175"/>
      <c r="D704" s="82" t="s">
        <v>60</v>
      </c>
      <c r="E704" s="41">
        <v>2000</v>
      </c>
      <c r="F704" s="43">
        <f>L606</f>
        <v>5.6925154320987652E-3</v>
      </c>
      <c r="G704" s="53" t="s">
        <v>57</v>
      </c>
      <c r="H704" s="43" t="s">
        <v>104</v>
      </c>
      <c r="I704" s="43">
        <f>F705</f>
        <v>2.7247299382716049E-3</v>
      </c>
      <c r="J704" s="71"/>
      <c r="K704" s="52" t="str">
        <f t="shared" si="162"/>
        <v/>
      </c>
      <c r="L704" s="170" t="s">
        <v>112</v>
      </c>
      <c r="M704" s="171"/>
      <c r="N704" s="90"/>
      <c r="O704" s="82" t="s">
        <v>119</v>
      </c>
      <c r="P704" s="43">
        <f>S605</f>
        <v>3.1481481481481482E-3</v>
      </c>
      <c r="Q704" s="71"/>
      <c r="R704" s="52" t="str">
        <f t="shared" ref="R704:R705" si="163">IF(Q704="","",ABS(P704-Q704))</f>
        <v/>
      </c>
      <c r="S704" s="170" t="s">
        <v>112</v>
      </c>
      <c r="T704" s="171"/>
      <c r="U704" s="83"/>
      <c r="V704" s="166" t="s">
        <v>111</v>
      </c>
      <c r="W704" s="166"/>
      <c r="X704" s="166"/>
      <c r="Y704" s="167"/>
      <c r="Z704" s="170" t="s">
        <v>112</v>
      </c>
      <c r="AA704" s="171"/>
      <c r="AB704" s="80"/>
      <c r="AC704" s="37"/>
      <c r="AD704" s="41"/>
      <c r="AE704" s="41"/>
      <c r="AF704" s="41"/>
    </row>
    <row r="705" spans="1:32" ht="16" customHeight="1" x14ac:dyDescent="0.2">
      <c r="A705" s="37"/>
      <c r="B705" s="174"/>
      <c r="C705" s="175"/>
      <c r="D705" s="82" t="s">
        <v>59</v>
      </c>
      <c r="E705" s="41">
        <v>1000</v>
      </c>
      <c r="F705" s="43">
        <f>F703</f>
        <v>2.7247299382716049E-3</v>
      </c>
      <c r="G705" s="53" t="s">
        <v>57</v>
      </c>
      <c r="H705" s="43" t="s">
        <v>105</v>
      </c>
      <c r="I705" s="43">
        <f>I704</f>
        <v>2.7247299382716049E-3</v>
      </c>
      <c r="J705" s="71"/>
      <c r="K705" s="52" t="str">
        <f t="shared" si="162"/>
        <v/>
      </c>
      <c r="L705" s="163" t="s">
        <v>88</v>
      </c>
      <c r="M705" s="164"/>
      <c r="N705" s="164"/>
      <c r="O705" s="82" t="s">
        <v>122</v>
      </c>
      <c r="P705" s="43">
        <f>S607</f>
        <v>3.7268518518518519E-3</v>
      </c>
      <c r="Q705" s="71"/>
      <c r="R705" s="52" t="str">
        <f t="shared" si="163"/>
        <v/>
      </c>
      <c r="S705" s="163" t="s">
        <v>88</v>
      </c>
      <c r="T705" s="164"/>
      <c r="U705" s="168"/>
      <c r="V705" s="30"/>
      <c r="W705" s="30"/>
      <c r="X705" s="30"/>
      <c r="Y705" s="30"/>
      <c r="Z705" s="163" t="s">
        <v>88</v>
      </c>
      <c r="AA705" s="164"/>
      <c r="AB705" s="169"/>
      <c r="AC705" s="37"/>
      <c r="AD705" s="41"/>
      <c r="AE705" s="41"/>
      <c r="AF705" s="41"/>
    </row>
    <row r="706" spans="1:32" ht="16" customHeight="1" thickBot="1" x14ac:dyDescent="0.25">
      <c r="A706" s="37"/>
      <c r="B706" s="174"/>
      <c r="C706" s="175"/>
      <c r="D706" s="165" t="s">
        <v>111</v>
      </c>
      <c r="E706" s="166"/>
      <c r="F706" s="166"/>
      <c r="G706" s="167"/>
      <c r="H706" s="43"/>
      <c r="I706" s="43"/>
      <c r="J706" s="43"/>
      <c r="K706" s="52" t="str">
        <f t="shared" si="162"/>
        <v/>
      </c>
      <c r="L706" s="163"/>
      <c r="M706" s="164"/>
      <c r="N706" s="164"/>
      <c r="O706" s="165" t="s">
        <v>111</v>
      </c>
      <c r="P706" s="166"/>
      <c r="Q706" s="166"/>
      <c r="R706" s="167"/>
      <c r="S706" s="163"/>
      <c r="T706" s="164"/>
      <c r="U706" s="168"/>
      <c r="V706" s="30"/>
      <c r="W706" s="30"/>
      <c r="X706" s="30"/>
      <c r="Y706" s="30"/>
      <c r="Z706" s="163"/>
      <c r="AA706" s="164"/>
      <c r="AB706" s="169"/>
      <c r="AC706" s="37"/>
      <c r="AD706" s="41"/>
      <c r="AE706" s="41"/>
      <c r="AF706" s="41"/>
    </row>
    <row r="707" spans="1:32" ht="16" customHeight="1" x14ac:dyDescent="0.2">
      <c r="A707" s="37"/>
      <c r="B707" s="172">
        <f>B699+1</f>
        <v>12</v>
      </c>
      <c r="C707" s="173"/>
      <c r="D707" s="178">
        <f>D608+(B707-1)*7</f>
        <v>42731</v>
      </c>
      <c r="E707" s="179"/>
      <c r="F707" s="179"/>
      <c r="G707" s="179"/>
      <c r="H707" s="179"/>
      <c r="I707" s="179"/>
      <c r="J707" s="179"/>
      <c r="K707" s="179"/>
      <c r="L707" s="179"/>
      <c r="M707" s="179"/>
      <c r="N707" s="179"/>
      <c r="O707" s="178">
        <f>O608+(B707-1)*7</f>
        <v>42734</v>
      </c>
      <c r="P707" s="179"/>
      <c r="Q707" s="179"/>
      <c r="R707" s="179"/>
      <c r="S707" s="179"/>
      <c r="T707" s="179"/>
      <c r="U707" s="180"/>
      <c r="V707" s="179">
        <f>V608+(B707-1)*7</f>
        <v>42736</v>
      </c>
      <c r="W707" s="179"/>
      <c r="X707" s="179"/>
      <c r="Y707" s="179"/>
      <c r="Z707" s="179"/>
      <c r="AA707" s="179"/>
      <c r="AB707" s="181"/>
      <c r="AC707" s="37"/>
      <c r="AD707" s="41"/>
      <c r="AE707" s="41"/>
      <c r="AF707" s="41"/>
    </row>
    <row r="708" spans="1:32" ht="16" customHeight="1" x14ac:dyDescent="0.2">
      <c r="A708" s="37"/>
      <c r="B708" s="174"/>
      <c r="C708" s="175"/>
      <c r="D708" s="182" t="s">
        <v>99</v>
      </c>
      <c r="E708" s="183"/>
      <c r="F708" s="183"/>
      <c r="G708" s="184"/>
      <c r="H708" s="185" t="s">
        <v>101</v>
      </c>
      <c r="I708" s="183"/>
      <c r="J708" s="183"/>
      <c r="K708" s="184"/>
      <c r="L708" s="183" t="s">
        <v>100</v>
      </c>
      <c r="M708" s="183"/>
      <c r="N708" s="186"/>
      <c r="O708" s="183" t="s">
        <v>99</v>
      </c>
      <c r="P708" s="183"/>
      <c r="Q708" s="183"/>
      <c r="R708" s="183"/>
      <c r="S708" s="185" t="s">
        <v>100</v>
      </c>
      <c r="T708" s="183"/>
      <c r="U708" s="186"/>
      <c r="V708" s="183" t="s">
        <v>99</v>
      </c>
      <c r="W708" s="183"/>
      <c r="X708" s="183"/>
      <c r="Y708" s="183"/>
      <c r="Z708" s="185" t="s">
        <v>100</v>
      </c>
      <c r="AA708" s="183"/>
      <c r="AB708" s="187"/>
      <c r="AC708" s="37"/>
      <c r="AD708" s="41"/>
      <c r="AE708" s="41"/>
      <c r="AF708" s="41"/>
    </row>
    <row r="709" spans="1:32" ht="16" customHeight="1" x14ac:dyDescent="0.2">
      <c r="A709" s="37"/>
      <c r="B709" s="174"/>
      <c r="C709" s="175"/>
      <c r="D709" s="188" t="s">
        <v>110</v>
      </c>
      <c r="E709" s="189"/>
      <c r="F709" s="189"/>
      <c r="G709" s="190"/>
      <c r="H709" s="43" t="s">
        <v>113</v>
      </c>
      <c r="I709" s="43" t="s">
        <v>114</v>
      </c>
      <c r="J709" s="71" t="s">
        <v>115</v>
      </c>
      <c r="K709" s="53" t="s">
        <v>116</v>
      </c>
      <c r="L709" s="74" t="s">
        <v>96</v>
      </c>
      <c r="M709" s="191"/>
      <c r="N709" s="192"/>
      <c r="O709" s="189" t="s">
        <v>110</v>
      </c>
      <c r="P709" s="189"/>
      <c r="Q709" s="189"/>
      <c r="R709" s="189"/>
      <c r="S709" s="77" t="s">
        <v>96</v>
      </c>
      <c r="T709" s="191"/>
      <c r="U709" s="192"/>
      <c r="V709" s="189" t="s">
        <v>110</v>
      </c>
      <c r="W709" s="189"/>
      <c r="X709" s="189"/>
      <c r="Y709" s="189"/>
      <c r="Z709" s="77" t="s">
        <v>96</v>
      </c>
      <c r="AA709" s="191"/>
      <c r="AB709" s="193"/>
      <c r="AC709" s="37"/>
      <c r="AD709" s="41"/>
      <c r="AE709" s="41"/>
      <c r="AF709" s="41"/>
    </row>
    <row r="710" spans="1:32" ht="16" customHeight="1" x14ac:dyDescent="0.2">
      <c r="A710" s="37"/>
      <c r="B710" s="174"/>
      <c r="C710" s="175"/>
      <c r="D710" s="82" t="s">
        <v>53</v>
      </c>
      <c r="E710" s="41" t="s">
        <v>54</v>
      </c>
      <c r="F710" s="41" t="s">
        <v>90</v>
      </c>
      <c r="G710" s="53" t="s">
        <v>55</v>
      </c>
      <c r="H710" s="43" t="s">
        <v>102</v>
      </c>
      <c r="I710" s="43">
        <f>F711</f>
        <v>4.5076195987654322E-3</v>
      </c>
      <c r="J710" s="71"/>
      <c r="K710" s="52" t="str">
        <f>IF(J710="","",ABS(I710-J710))</f>
        <v/>
      </c>
      <c r="L710" s="75" t="s">
        <v>97</v>
      </c>
      <c r="M710" s="164"/>
      <c r="N710" s="168"/>
      <c r="O710" s="41" t="s">
        <v>54</v>
      </c>
      <c r="P710" s="41" t="s">
        <v>65</v>
      </c>
      <c r="Q710" s="67" t="s">
        <v>117</v>
      </c>
      <c r="R710" s="41" t="s">
        <v>116</v>
      </c>
      <c r="S710" s="78" t="s">
        <v>97</v>
      </c>
      <c r="T710" s="164"/>
      <c r="U710" s="168"/>
      <c r="V710" s="41" t="s">
        <v>54</v>
      </c>
      <c r="W710" s="41" t="s">
        <v>65</v>
      </c>
      <c r="X710" s="67" t="s">
        <v>117</v>
      </c>
      <c r="Y710" s="41" t="s">
        <v>116</v>
      </c>
      <c r="Z710" s="78" t="s">
        <v>97</v>
      </c>
      <c r="AA710" s="164"/>
      <c r="AB710" s="169"/>
      <c r="AC710" s="37"/>
      <c r="AD710" s="41"/>
      <c r="AE710" s="41"/>
      <c r="AF710" s="41"/>
    </row>
    <row r="711" spans="1:32" ht="16" customHeight="1" x14ac:dyDescent="0.2">
      <c r="A711" s="37"/>
      <c r="B711" s="174"/>
      <c r="C711" s="175"/>
      <c r="D711" s="82" t="s">
        <v>64</v>
      </c>
      <c r="E711" s="41">
        <v>1600</v>
      </c>
      <c r="F711" s="43">
        <f>L605</f>
        <v>4.5076195987654322E-3</v>
      </c>
      <c r="G711" s="53" t="s">
        <v>57</v>
      </c>
      <c r="H711" s="43" t="s">
        <v>103</v>
      </c>
      <c r="I711" s="43">
        <f>I710</f>
        <v>4.5076195987654322E-3</v>
      </c>
      <c r="J711" s="71"/>
      <c r="K711" s="52" t="str">
        <f t="shared" ref="K711:K714" si="164">IF(J711="","",ABS(I711-J711))</f>
        <v/>
      </c>
      <c r="L711" s="75" t="s">
        <v>98</v>
      </c>
      <c r="M711" s="164"/>
      <c r="N711" s="168"/>
      <c r="O711" s="41" t="s">
        <v>139</v>
      </c>
      <c r="P711" s="43">
        <f>Z604</f>
        <v>3.3584104938271606E-3</v>
      </c>
      <c r="Q711" s="71"/>
      <c r="R711" s="52" t="str">
        <f>IF(Q711="","",ABS(P711-Q711))</f>
        <v/>
      </c>
      <c r="S711" s="78" t="s">
        <v>98</v>
      </c>
      <c r="T711" s="164"/>
      <c r="U711" s="168"/>
      <c r="V711" s="41" t="s">
        <v>157</v>
      </c>
      <c r="W711" s="43">
        <f>Z604+9/86400</f>
        <v>3.4625771604938271E-3</v>
      </c>
      <c r="X711" s="71"/>
      <c r="Y711" s="52" t="str">
        <f>IF(X711="","",ABS(W711-X711))</f>
        <v/>
      </c>
      <c r="Z711" s="78" t="s">
        <v>98</v>
      </c>
      <c r="AA711" s="164"/>
      <c r="AB711" s="169"/>
      <c r="AC711" s="37"/>
      <c r="AD711" s="41"/>
      <c r="AE711" s="41"/>
      <c r="AF711" s="41"/>
    </row>
    <row r="712" spans="1:32" ht="16" customHeight="1" x14ac:dyDescent="0.2">
      <c r="A712" s="37"/>
      <c r="B712" s="174"/>
      <c r="C712" s="175"/>
      <c r="D712" s="165" t="s">
        <v>111</v>
      </c>
      <c r="E712" s="166"/>
      <c r="F712" s="166"/>
      <c r="G712" s="167"/>
      <c r="H712" s="43" t="s">
        <v>104</v>
      </c>
      <c r="I712" s="43">
        <f>I711</f>
        <v>4.5076195987654322E-3</v>
      </c>
      <c r="J712" s="71"/>
      <c r="K712" s="52" t="str">
        <f t="shared" si="164"/>
        <v/>
      </c>
      <c r="L712" s="170" t="s">
        <v>112</v>
      </c>
      <c r="M712" s="171"/>
      <c r="N712" s="83"/>
      <c r="O712" s="166" t="s">
        <v>111</v>
      </c>
      <c r="P712" s="166"/>
      <c r="Q712" s="166"/>
      <c r="R712" s="167"/>
      <c r="S712" s="170" t="s">
        <v>112</v>
      </c>
      <c r="T712" s="171"/>
      <c r="U712" s="83"/>
      <c r="V712" s="166" t="s">
        <v>111</v>
      </c>
      <c r="W712" s="166"/>
      <c r="X712" s="166"/>
      <c r="Y712" s="167"/>
      <c r="Z712" s="170" t="s">
        <v>112</v>
      </c>
      <c r="AA712" s="171"/>
      <c r="AB712" s="80"/>
      <c r="AC712" s="37"/>
      <c r="AD712" s="41"/>
      <c r="AE712" s="41"/>
      <c r="AF712" s="41"/>
    </row>
    <row r="713" spans="1:32" ht="16" customHeight="1" x14ac:dyDescent="0.2">
      <c r="A713" s="37"/>
      <c r="B713" s="174"/>
      <c r="C713" s="175"/>
      <c r="D713" s="82"/>
      <c r="E713" s="41"/>
      <c r="F713" s="43"/>
      <c r="G713" s="53"/>
      <c r="H713" s="43"/>
      <c r="I713" s="43"/>
      <c r="J713" s="43"/>
      <c r="K713" s="52" t="str">
        <f t="shared" si="164"/>
        <v/>
      </c>
      <c r="L713" s="163" t="s">
        <v>88</v>
      </c>
      <c r="M713" s="164"/>
      <c r="N713" s="168"/>
      <c r="O713" s="41"/>
      <c r="P713" s="43"/>
      <c r="Q713" s="43"/>
      <c r="R713" s="52"/>
      <c r="S713" s="163" t="s">
        <v>88</v>
      </c>
      <c r="T713" s="164"/>
      <c r="U713" s="168"/>
      <c r="V713" s="30"/>
      <c r="W713" s="30"/>
      <c r="X713" s="30"/>
      <c r="Y713" s="30"/>
      <c r="Z713" s="163" t="s">
        <v>88</v>
      </c>
      <c r="AA713" s="164"/>
      <c r="AB713" s="169"/>
      <c r="AC713" s="37"/>
      <c r="AD713" s="41"/>
      <c r="AE713" s="41"/>
      <c r="AF713" s="41"/>
    </row>
    <row r="714" spans="1:32" ht="16" customHeight="1" thickBot="1" x14ac:dyDescent="0.25">
      <c r="A714" s="37"/>
      <c r="B714" s="174"/>
      <c r="C714" s="175"/>
      <c r="D714" s="298"/>
      <c r="E714" s="195"/>
      <c r="F714" s="195"/>
      <c r="G714" s="299"/>
      <c r="H714" s="40"/>
      <c r="I714" s="40"/>
      <c r="J714" s="40"/>
      <c r="K714" s="54" t="str">
        <f t="shared" si="164"/>
        <v/>
      </c>
      <c r="L714" s="300"/>
      <c r="M714" s="301"/>
      <c r="N714" s="302"/>
      <c r="O714" s="166"/>
      <c r="P714" s="166"/>
      <c r="Q714" s="166"/>
      <c r="R714" s="167"/>
      <c r="S714" s="163"/>
      <c r="T714" s="164"/>
      <c r="U714" s="168"/>
      <c r="V714" s="30"/>
      <c r="W714" s="30"/>
      <c r="X714" s="30"/>
      <c r="Y714" s="30"/>
      <c r="Z714" s="163"/>
      <c r="AA714" s="164"/>
      <c r="AB714" s="169"/>
      <c r="AC714" s="37"/>
      <c r="AD714" s="41"/>
      <c r="AE714" s="41"/>
      <c r="AF714" s="41"/>
    </row>
    <row r="715" spans="1:32" ht="16" customHeight="1" x14ac:dyDescent="0.2">
      <c r="A715" s="37"/>
      <c r="B715" s="172">
        <f>B707+1</f>
        <v>13</v>
      </c>
      <c r="C715" s="173"/>
      <c r="D715" s="178">
        <f>D608+(B715-1)*7</f>
        <v>42738</v>
      </c>
      <c r="E715" s="179"/>
      <c r="F715" s="179"/>
      <c r="G715" s="179"/>
      <c r="H715" s="179"/>
      <c r="I715" s="179"/>
      <c r="J715" s="179"/>
      <c r="K715" s="179"/>
      <c r="L715" s="179"/>
      <c r="M715" s="179"/>
      <c r="N715" s="179"/>
      <c r="O715" s="178">
        <f>O608+(B715-1)*7</f>
        <v>42741</v>
      </c>
      <c r="P715" s="179"/>
      <c r="Q715" s="179"/>
      <c r="R715" s="179"/>
      <c r="S715" s="179"/>
      <c r="T715" s="179"/>
      <c r="U715" s="180"/>
      <c r="V715" s="179">
        <f>V608+(B715-1)*7</f>
        <v>42743</v>
      </c>
      <c r="W715" s="179"/>
      <c r="X715" s="179"/>
      <c r="Y715" s="179"/>
      <c r="Z715" s="179"/>
      <c r="AA715" s="179"/>
      <c r="AB715" s="181"/>
      <c r="AC715" s="37"/>
      <c r="AD715" s="41"/>
      <c r="AE715" s="41"/>
      <c r="AF715" s="41"/>
    </row>
    <row r="716" spans="1:32" ht="16" customHeight="1" x14ac:dyDescent="0.2">
      <c r="A716" s="37"/>
      <c r="B716" s="174"/>
      <c r="C716" s="175"/>
      <c r="D716" s="182" t="s">
        <v>99</v>
      </c>
      <c r="E716" s="183"/>
      <c r="F716" s="183"/>
      <c r="G716" s="184"/>
      <c r="H716" s="185" t="s">
        <v>101</v>
      </c>
      <c r="I716" s="183"/>
      <c r="J716" s="183"/>
      <c r="K716" s="184"/>
      <c r="L716" s="183" t="s">
        <v>100</v>
      </c>
      <c r="M716" s="183"/>
      <c r="N716" s="183"/>
      <c r="O716" s="303" t="s">
        <v>99</v>
      </c>
      <c r="P716" s="304"/>
      <c r="Q716" s="304"/>
      <c r="R716" s="305"/>
      <c r="S716" s="185" t="s">
        <v>100</v>
      </c>
      <c r="T716" s="183"/>
      <c r="U716" s="186"/>
      <c r="V716" s="183" t="s">
        <v>99</v>
      </c>
      <c r="W716" s="183"/>
      <c r="X716" s="183"/>
      <c r="Y716" s="183"/>
      <c r="Z716" s="185" t="s">
        <v>100</v>
      </c>
      <c r="AA716" s="183"/>
      <c r="AB716" s="187"/>
      <c r="AC716" s="104"/>
      <c r="AD716" s="30"/>
      <c r="AE716" s="41"/>
      <c r="AF716" s="41"/>
    </row>
    <row r="717" spans="1:32" ht="16" customHeight="1" x14ac:dyDescent="0.2">
      <c r="A717" s="37"/>
      <c r="B717" s="174"/>
      <c r="C717" s="175"/>
      <c r="D717" s="188" t="s">
        <v>110</v>
      </c>
      <c r="E717" s="189"/>
      <c r="F717" s="189"/>
      <c r="G717" s="190"/>
      <c r="H717" s="43" t="s">
        <v>113</v>
      </c>
      <c r="I717" s="43" t="s">
        <v>114</v>
      </c>
      <c r="J717" s="71" t="s">
        <v>115</v>
      </c>
      <c r="K717" s="53" t="s">
        <v>116</v>
      </c>
      <c r="L717" s="74" t="s">
        <v>96</v>
      </c>
      <c r="M717" s="191"/>
      <c r="N717" s="191"/>
      <c r="O717" s="188" t="s">
        <v>110</v>
      </c>
      <c r="P717" s="189"/>
      <c r="Q717" s="189"/>
      <c r="R717" s="190"/>
      <c r="S717" s="77" t="s">
        <v>96</v>
      </c>
      <c r="T717" s="191"/>
      <c r="U717" s="192"/>
      <c r="V717" s="189" t="s">
        <v>110</v>
      </c>
      <c r="W717" s="189"/>
      <c r="X717" s="189"/>
      <c r="Y717" s="189"/>
      <c r="Z717" s="77" t="s">
        <v>96</v>
      </c>
      <c r="AA717" s="191"/>
      <c r="AB717" s="193"/>
      <c r="AC717" s="37"/>
      <c r="AD717" s="41"/>
      <c r="AE717" s="41"/>
      <c r="AF717" s="41"/>
    </row>
    <row r="718" spans="1:32" ht="16" customHeight="1" x14ac:dyDescent="0.2">
      <c r="A718" s="37"/>
      <c r="B718" s="174"/>
      <c r="C718" s="175"/>
      <c r="D718" s="82" t="s">
        <v>53</v>
      </c>
      <c r="E718" s="41" t="s">
        <v>54</v>
      </c>
      <c r="F718" s="41" t="s">
        <v>90</v>
      </c>
      <c r="G718" s="53" t="s">
        <v>55</v>
      </c>
      <c r="H718" s="43" t="s">
        <v>102</v>
      </c>
      <c r="I718" s="43">
        <f>F719</f>
        <v>1.0551697530864197E-3</v>
      </c>
      <c r="J718" s="71"/>
      <c r="K718" s="52" t="str">
        <f>IF(J718="","",ABS(I718-J718))</f>
        <v/>
      </c>
      <c r="L718" s="75" t="s">
        <v>97</v>
      </c>
      <c r="M718" s="164"/>
      <c r="N718" s="164"/>
      <c r="O718" s="82" t="s">
        <v>54</v>
      </c>
      <c r="P718" s="41" t="s">
        <v>65</v>
      </c>
      <c r="Q718" s="67" t="s">
        <v>117</v>
      </c>
      <c r="R718" s="53" t="s">
        <v>116</v>
      </c>
      <c r="S718" s="78" t="s">
        <v>97</v>
      </c>
      <c r="T718" s="164"/>
      <c r="U718" s="168"/>
      <c r="V718" s="41" t="s">
        <v>54</v>
      </c>
      <c r="W718" s="41" t="s">
        <v>65</v>
      </c>
      <c r="X718" s="67" t="s">
        <v>117</v>
      </c>
      <c r="Y718" s="41" t="s">
        <v>116</v>
      </c>
      <c r="Z718" s="78" t="s">
        <v>97</v>
      </c>
      <c r="AA718" s="164"/>
      <c r="AB718" s="169"/>
      <c r="AC718" s="37"/>
      <c r="AD718" s="41"/>
      <c r="AE718" s="41"/>
      <c r="AF718" s="41"/>
    </row>
    <row r="719" spans="1:32" ht="16" customHeight="1" x14ac:dyDescent="0.2">
      <c r="A719" s="37"/>
      <c r="B719" s="174"/>
      <c r="C719" s="175"/>
      <c r="D719" s="82" t="s">
        <v>62</v>
      </c>
      <c r="E719" s="41">
        <v>400</v>
      </c>
      <c r="F719" s="43">
        <f>F604</f>
        <v>1.0551697530864197E-3</v>
      </c>
      <c r="G719" s="53" t="s">
        <v>57</v>
      </c>
      <c r="H719" s="43" t="s">
        <v>103</v>
      </c>
      <c r="I719" s="43">
        <f>I718</f>
        <v>1.0551697530864197E-3</v>
      </c>
      <c r="J719" s="71"/>
      <c r="K719" s="52" t="str">
        <f t="shared" ref="K719:K725" si="165">IF(J719="","",ABS(I719-J719))</f>
        <v/>
      </c>
      <c r="L719" s="75" t="s">
        <v>98</v>
      </c>
      <c r="M719" s="164"/>
      <c r="N719" s="164"/>
      <c r="O719" s="82" t="s">
        <v>128</v>
      </c>
      <c r="P719" s="43">
        <f>Z604</f>
        <v>3.3584104938271606E-3</v>
      </c>
      <c r="Q719" s="71"/>
      <c r="R719" s="52" t="str">
        <f>IF(Q719="","",ABS(P719-Q719))</f>
        <v/>
      </c>
      <c r="S719" s="78" t="s">
        <v>98</v>
      </c>
      <c r="T719" s="164"/>
      <c r="U719" s="168"/>
      <c r="V719" s="41" t="s">
        <v>159</v>
      </c>
      <c r="W719" s="43">
        <f>Z604+9/86400</f>
        <v>3.4625771604938271E-3</v>
      </c>
      <c r="X719" s="71"/>
      <c r="Y719" s="52" t="str">
        <f>IF(X719="","",ABS(W719-X719))</f>
        <v/>
      </c>
      <c r="Z719" s="78" t="s">
        <v>98</v>
      </c>
      <c r="AA719" s="164"/>
      <c r="AB719" s="169"/>
      <c r="AC719" s="37"/>
      <c r="AD719" s="41"/>
      <c r="AE719" s="41"/>
      <c r="AF719" s="41"/>
    </row>
    <row r="720" spans="1:32" ht="16" customHeight="1" x14ac:dyDescent="0.2">
      <c r="A720" s="37"/>
      <c r="B720" s="174"/>
      <c r="C720" s="175"/>
      <c r="D720" s="165" t="s">
        <v>111</v>
      </c>
      <c r="E720" s="166"/>
      <c r="F720" s="166"/>
      <c r="G720" s="167"/>
      <c r="H720" s="43" t="s">
        <v>104</v>
      </c>
      <c r="I720" s="43">
        <f t="shared" ref="I720:I725" si="166">I719</f>
        <v>1.0551697530864197E-3</v>
      </c>
      <c r="J720" s="71"/>
      <c r="K720" s="52" t="str">
        <f t="shared" si="165"/>
        <v/>
      </c>
      <c r="L720" s="170" t="s">
        <v>112</v>
      </c>
      <c r="M720" s="171"/>
      <c r="N720" s="90"/>
      <c r="O720" s="165" t="s">
        <v>111</v>
      </c>
      <c r="P720" s="166"/>
      <c r="Q720" s="166"/>
      <c r="R720" s="167"/>
      <c r="S720" s="170" t="s">
        <v>112</v>
      </c>
      <c r="T720" s="171"/>
      <c r="U720" s="83"/>
      <c r="V720" s="166" t="s">
        <v>111</v>
      </c>
      <c r="W720" s="166"/>
      <c r="X720" s="166"/>
      <c r="Y720" s="167"/>
      <c r="Z720" s="170" t="s">
        <v>112</v>
      </c>
      <c r="AA720" s="171"/>
      <c r="AB720" s="80"/>
      <c r="AC720" s="37"/>
      <c r="AD720" s="41"/>
      <c r="AE720" s="41"/>
      <c r="AF720" s="41"/>
    </row>
    <row r="721" spans="1:32" ht="16" customHeight="1" x14ac:dyDescent="0.2">
      <c r="A721" s="37"/>
      <c r="B721" s="174"/>
      <c r="C721" s="175"/>
      <c r="D721" s="165"/>
      <c r="E721" s="166"/>
      <c r="F721" s="166"/>
      <c r="G721" s="167"/>
      <c r="H721" s="43" t="s">
        <v>105</v>
      </c>
      <c r="I721" s="43">
        <f t="shared" si="166"/>
        <v>1.0551697530864197E-3</v>
      </c>
      <c r="J721" s="71"/>
      <c r="K721" s="52" t="str">
        <f t="shared" si="165"/>
        <v/>
      </c>
      <c r="L721" s="163" t="s">
        <v>88</v>
      </c>
      <c r="M721" s="164"/>
      <c r="N721" s="164"/>
      <c r="O721" s="82"/>
      <c r="P721" s="43"/>
      <c r="Q721" s="43"/>
      <c r="R721" s="52"/>
      <c r="S721" s="163" t="s">
        <v>88</v>
      </c>
      <c r="T721" s="164"/>
      <c r="U721" s="168"/>
      <c r="V721" s="30"/>
      <c r="W721" s="30"/>
      <c r="X721" s="30"/>
      <c r="Y721" s="30"/>
      <c r="Z721" s="163" t="s">
        <v>88</v>
      </c>
      <c r="AA721" s="164"/>
      <c r="AB721" s="169"/>
      <c r="AC721" s="37"/>
      <c r="AD721" s="41"/>
      <c r="AE721" s="41"/>
      <c r="AF721" s="41"/>
    </row>
    <row r="722" spans="1:32" ht="16" customHeight="1" x14ac:dyDescent="0.2">
      <c r="A722" s="37"/>
      <c r="B722" s="174"/>
      <c r="C722" s="175"/>
      <c r="D722" s="84"/>
      <c r="E722" s="43"/>
      <c r="F722" s="43"/>
      <c r="G722" s="53"/>
      <c r="H722" s="43" t="s">
        <v>106</v>
      </c>
      <c r="I722" s="43">
        <f t="shared" si="166"/>
        <v>1.0551697530864197E-3</v>
      </c>
      <c r="J722" s="71"/>
      <c r="K722" s="52" t="str">
        <f t="shared" si="165"/>
        <v/>
      </c>
      <c r="L722" s="163"/>
      <c r="M722" s="164"/>
      <c r="N722" s="164"/>
      <c r="O722" s="165"/>
      <c r="P722" s="166"/>
      <c r="Q722" s="166"/>
      <c r="R722" s="167"/>
      <c r="S722" s="163"/>
      <c r="T722" s="164"/>
      <c r="U722" s="168"/>
      <c r="V722" s="30"/>
      <c r="W722" s="30"/>
      <c r="X722" s="30"/>
      <c r="Y722" s="30"/>
      <c r="Z722" s="163"/>
      <c r="AA722" s="164"/>
      <c r="AB722" s="169"/>
      <c r="AC722" s="37"/>
      <c r="AD722" s="41"/>
      <c r="AE722" s="41"/>
      <c r="AF722" s="41"/>
    </row>
    <row r="723" spans="1:32" ht="16" customHeight="1" x14ac:dyDescent="0.2">
      <c r="A723" s="37"/>
      <c r="B723" s="174"/>
      <c r="C723" s="175"/>
      <c r="D723" s="84"/>
      <c r="E723" s="43"/>
      <c r="F723" s="43"/>
      <c r="G723" s="53"/>
      <c r="H723" s="43" t="s">
        <v>107</v>
      </c>
      <c r="I723" s="43">
        <f t="shared" si="166"/>
        <v>1.0551697530864197E-3</v>
      </c>
      <c r="J723" s="71"/>
      <c r="K723" s="52" t="str">
        <f t="shared" si="165"/>
        <v/>
      </c>
      <c r="L723" s="41"/>
      <c r="M723" s="41"/>
      <c r="N723" s="30"/>
      <c r="O723" s="82"/>
      <c r="P723" s="43"/>
      <c r="Q723" s="43"/>
      <c r="R723" s="52"/>
      <c r="S723" s="50"/>
      <c r="T723" s="41"/>
      <c r="U723" s="85"/>
      <c r="V723" s="30"/>
      <c r="W723" s="30"/>
      <c r="X723" s="30"/>
      <c r="Y723" s="30"/>
      <c r="Z723" s="50"/>
      <c r="AA723" s="41"/>
      <c r="AB723" s="35"/>
      <c r="AC723" s="37"/>
      <c r="AD723" s="41"/>
      <c r="AE723" s="41"/>
      <c r="AF723" s="41"/>
    </row>
    <row r="724" spans="1:32" ht="16" customHeight="1" x14ac:dyDescent="0.2">
      <c r="A724" s="37"/>
      <c r="B724" s="174"/>
      <c r="C724" s="175"/>
      <c r="D724" s="84"/>
      <c r="E724" s="43"/>
      <c r="F724" s="43"/>
      <c r="G724" s="53"/>
      <c r="H724" s="43" t="s">
        <v>108</v>
      </c>
      <c r="I724" s="43">
        <f t="shared" si="166"/>
        <v>1.0551697530864197E-3</v>
      </c>
      <c r="J724" s="71"/>
      <c r="K724" s="52" t="str">
        <f t="shared" si="165"/>
        <v/>
      </c>
      <c r="L724" s="41"/>
      <c r="M724" s="41"/>
      <c r="N724" s="41"/>
      <c r="O724" s="165"/>
      <c r="P724" s="166"/>
      <c r="Q724" s="166"/>
      <c r="R724" s="167"/>
      <c r="S724" s="50"/>
      <c r="T724" s="41"/>
      <c r="U724" s="85"/>
      <c r="V724" s="30"/>
      <c r="W724" s="30"/>
      <c r="X724" s="30"/>
      <c r="Y724" s="30"/>
      <c r="Z724" s="50"/>
      <c r="AA724" s="41"/>
      <c r="AB724" s="44"/>
      <c r="AC724" s="37"/>
      <c r="AD724" s="41"/>
      <c r="AE724" s="41"/>
      <c r="AF724" s="41"/>
    </row>
    <row r="725" spans="1:32" ht="16" customHeight="1" x14ac:dyDescent="0.2">
      <c r="A725" s="37"/>
      <c r="B725" s="174"/>
      <c r="C725" s="175"/>
      <c r="D725" s="84"/>
      <c r="E725" s="43"/>
      <c r="F725" s="43"/>
      <c r="G725" s="53"/>
      <c r="H725" s="43" t="s">
        <v>109</v>
      </c>
      <c r="I725" s="43">
        <f t="shared" si="166"/>
        <v>1.0551697530864197E-3</v>
      </c>
      <c r="J725" s="71"/>
      <c r="K725" s="52" t="str">
        <f t="shared" si="165"/>
        <v/>
      </c>
      <c r="L725" s="41"/>
      <c r="M725" s="41"/>
      <c r="N725" s="30"/>
      <c r="O725" s="82"/>
      <c r="P725" s="41"/>
      <c r="Q725" s="41"/>
      <c r="R725" s="41"/>
      <c r="S725" s="50"/>
      <c r="T725" s="41"/>
      <c r="U725" s="85"/>
      <c r="V725" s="30"/>
      <c r="W725" s="30"/>
      <c r="X725" s="30"/>
      <c r="Y725" s="30"/>
      <c r="Z725" s="50"/>
      <c r="AA725" s="41"/>
      <c r="AB725" s="35"/>
      <c r="AC725" s="37"/>
      <c r="AD725" s="41"/>
      <c r="AE725" s="41"/>
      <c r="AF725" s="41"/>
    </row>
    <row r="726" spans="1:32" ht="16" customHeight="1" x14ac:dyDescent="0.2">
      <c r="A726" s="37"/>
      <c r="B726" s="174"/>
      <c r="C726" s="175"/>
      <c r="D726" s="84"/>
      <c r="E726" s="43"/>
      <c r="F726" s="43"/>
      <c r="G726" s="53"/>
      <c r="H726" s="43" t="s">
        <v>125</v>
      </c>
      <c r="I726" s="43">
        <f>I725</f>
        <v>1.0551697530864197E-3</v>
      </c>
      <c r="J726" s="71"/>
      <c r="K726" s="52" t="str">
        <f>IF(J726="","",ABS(I726-J726))</f>
        <v/>
      </c>
      <c r="L726" s="41"/>
      <c r="M726" s="41"/>
      <c r="N726" s="41"/>
      <c r="O726" s="82"/>
      <c r="P726" s="41"/>
      <c r="Q726" s="41"/>
      <c r="R726" s="41"/>
      <c r="S726" s="50"/>
      <c r="T726" s="41"/>
      <c r="U726" s="86"/>
      <c r="V726" s="30"/>
      <c r="W726" s="30"/>
      <c r="X726" s="30"/>
      <c r="Y726" s="30"/>
      <c r="Z726" s="50"/>
      <c r="AA726" s="41"/>
      <c r="AB726" s="44"/>
      <c r="AC726" s="37"/>
      <c r="AD726" s="41"/>
      <c r="AE726" s="41"/>
      <c r="AF726" s="41"/>
    </row>
    <row r="727" spans="1:32" ht="16" customHeight="1" thickBot="1" x14ac:dyDescent="0.25">
      <c r="A727" s="37"/>
      <c r="B727" s="198"/>
      <c r="C727" s="199"/>
      <c r="D727" s="87"/>
      <c r="E727" s="40"/>
      <c r="F727" s="40"/>
      <c r="G727" s="51"/>
      <c r="H727" s="43" t="s">
        <v>151</v>
      </c>
      <c r="I727" s="43">
        <f>I726</f>
        <v>1.0551697530864197E-3</v>
      </c>
      <c r="J727" s="72"/>
      <c r="K727" s="52" t="str">
        <f>IF(J727="","",ABS(I727-J727))</f>
        <v/>
      </c>
      <c r="L727" s="194"/>
      <c r="M727" s="195"/>
      <c r="N727" s="195"/>
      <c r="O727" s="97"/>
      <c r="P727" s="42"/>
      <c r="Q727" s="42"/>
      <c r="R727" s="42"/>
      <c r="S727" s="194"/>
      <c r="T727" s="195"/>
      <c r="U727" s="196"/>
      <c r="V727" s="34"/>
      <c r="W727" s="34"/>
      <c r="X727" s="34"/>
      <c r="Y727" s="34"/>
      <c r="Z727" s="194"/>
      <c r="AA727" s="195"/>
      <c r="AB727" s="197"/>
      <c r="AC727" s="37"/>
      <c r="AD727" s="41"/>
      <c r="AE727" s="41"/>
      <c r="AF727" s="41"/>
    </row>
    <row r="728" spans="1:32" ht="16" customHeight="1" x14ac:dyDescent="0.2">
      <c r="A728" s="37"/>
      <c r="B728" s="172">
        <f>B715+1</f>
        <v>14</v>
      </c>
      <c r="C728" s="173"/>
      <c r="D728" s="178">
        <f>D608+(B728-1)*7</f>
        <v>42745</v>
      </c>
      <c r="E728" s="179"/>
      <c r="F728" s="179"/>
      <c r="G728" s="179"/>
      <c r="H728" s="179"/>
      <c r="I728" s="179"/>
      <c r="J728" s="179"/>
      <c r="K728" s="179"/>
      <c r="L728" s="179"/>
      <c r="M728" s="179"/>
      <c r="N728" s="179"/>
      <c r="O728" s="178">
        <f>O608+(B728-1)*7</f>
        <v>42748</v>
      </c>
      <c r="P728" s="179"/>
      <c r="Q728" s="179"/>
      <c r="R728" s="179"/>
      <c r="S728" s="179"/>
      <c r="T728" s="179"/>
      <c r="U728" s="180"/>
      <c r="V728" s="179">
        <f>V608+(B728-1)*7</f>
        <v>42750</v>
      </c>
      <c r="W728" s="179"/>
      <c r="X728" s="179"/>
      <c r="Y728" s="179"/>
      <c r="Z728" s="179"/>
      <c r="AA728" s="179"/>
      <c r="AB728" s="181"/>
      <c r="AC728" s="37"/>
      <c r="AD728" s="41"/>
      <c r="AE728" s="41"/>
      <c r="AF728" s="41"/>
    </row>
    <row r="729" spans="1:32" ht="16" customHeight="1" x14ac:dyDescent="0.2">
      <c r="A729" s="37"/>
      <c r="B729" s="174"/>
      <c r="C729" s="175"/>
      <c r="D729" s="182" t="s">
        <v>99</v>
      </c>
      <c r="E729" s="183"/>
      <c r="F729" s="183"/>
      <c r="G729" s="184"/>
      <c r="H729" s="185" t="s">
        <v>101</v>
      </c>
      <c r="I729" s="183"/>
      <c r="J729" s="183"/>
      <c r="K729" s="184"/>
      <c r="L729" s="183" t="s">
        <v>100</v>
      </c>
      <c r="M729" s="183"/>
      <c r="N729" s="183"/>
      <c r="O729" s="182" t="s">
        <v>99</v>
      </c>
      <c r="P729" s="183"/>
      <c r="Q729" s="183"/>
      <c r="R729" s="183"/>
      <c r="S729" s="185" t="s">
        <v>100</v>
      </c>
      <c r="T729" s="183"/>
      <c r="U729" s="186"/>
      <c r="V729" s="183" t="s">
        <v>99</v>
      </c>
      <c r="W729" s="183"/>
      <c r="X729" s="183"/>
      <c r="Y729" s="183"/>
      <c r="Z729" s="185" t="s">
        <v>100</v>
      </c>
      <c r="AA729" s="183"/>
      <c r="AB729" s="187"/>
      <c r="AC729" s="37"/>
      <c r="AD729" s="41"/>
      <c r="AE729" s="41"/>
      <c r="AF729" s="41"/>
    </row>
    <row r="730" spans="1:32" ht="16" customHeight="1" x14ac:dyDescent="0.2">
      <c r="A730" s="37"/>
      <c r="B730" s="174"/>
      <c r="C730" s="175"/>
      <c r="D730" s="188" t="s">
        <v>110</v>
      </c>
      <c r="E730" s="189"/>
      <c r="F730" s="189"/>
      <c r="G730" s="190"/>
      <c r="H730" s="43" t="s">
        <v>113</v>
      </c>
      <c r="I730" s="43" t="s">
        <v>114</v>
      </c>
      <c r="J730" s="71" t="s">
        <v>115</v>
      </c>
      <c r="K730" s="53" t="s">
        <v>116</v>
      </c>
      <c r="L730" s="74" t="s">
        <v>96</v>
      </c>
      <c r="M730" s="191"/>
      <c r="N730" s="191"/>
      <c r="O730" s="188" t="s">
        <v>110</v>
      </c>
      <c r="P730" s="189"/>
      <c r="Q730" s="189"/>
      <c r="R730" s="189"/>
      <c r="S730" s="77" t="s">
        <v>96</v>
      </c>
      <c r="T730" s="191"/>
      <c r="U730" s="192"/>
      <c r="V730" s="189" t="s">
        <v>110</v>
      </c>
      <c r="W730" s="189"/>
      <c r="X730" s="189"/>
      <c r="Y730" s="189"/>
      <c r="Z730" s="77" t="s">
        <v>96</v>
      </c>
      <c r="AA730" s="191"/>
      <c r="AB730" s="193"/>
      <c r="AC730" s="37"/>
      <c r="AD730" s="41"/>
      <c r="AE730" s="41"/>
      <c r="AF730" s="41"/>
    </row>
    <row r="731" spans="1:32" ht="16" customHeight="1" x14ac:dyDescent="0.2">
      <c r="A731" s="37"/>
      <c r="B731" s="174"/>
      <c r="C731" s="175"/>
      <c r="D731" s="82" t="s">
        <v>53</v>
      </c>
      <c r="E731" s="41" t="s">
        <v>54</v>
      </c>
      <c r="F731" s="41" t="s">
        <v>90</v>
      </c>
      <c r="G731" s="53" t="s">
        <v>55</v>
      </c>
      <c r="H731" s="43" t="s">
        <v>102</v>
      </c>
      <c r="I731" s="43">
        <f>F732</f>
        <v>2.1566358024691359E-3</v>
      </c>
      <c r="J731" s="71"/>
      <c r="K731" s="52" t="str">
        <f>IF(J731="","",ABS(I731-J731))</f>
        <v/>
      </c>
      <c r="L731" s="75" t="s">
        <v>97</v>
      </c>
      <c r="M731" s="164"/>
      <c r="N731" s="164"/>
      <c r="O731" s="82" t="s">
        <v>54</v>
      </c>
      <c r="P731" s="41" t="s">
        <v>65</v>
      </c>
      <c r="Q731" s="67" t="s">
        <v>117</v>
      </c>
      <c r="R731" s="41" t="s">
        <v>116</v>
      </c>
      <c r="S731" s="78" t="s">
        <v>97</v>
      </c>
      <c r="T731" s="164"/>
      <c r="U731" s="168"/>
      <c r="V731" s="41" t="s">
        <v>54</v>
      </c>
      <c r="W731" s="41" t="s">
        <v>65</v>
      </c>
      <c r="X731" s="67" t="s">
        <v>117</v>
      </c>
      <c r="Y731" s="41" t="s">
        <v>116</v>
      </c>
      <c r="Z731" s="78" t="s">
        <v>97</v>
      </c>
      <c r="AA731" s="164"/>
      <c r="AB731" s="169"/>
      <c r="AC731" s="37"/>
      <c r="AD731" s="41"/>
      <c r="AE731" s="41"/>
      <c r="AF731" s="41"/>
    </row>
    <row r="732" spans="1:32" ht="16" customHeight="1" x14ac:dyDescent="0.2">
      <c r="A732" s="37"/>
      <c r="B732" s="174"/>
      <c r="C732" s="175"/>
      <c r="D732" s="82" t="s">
        <v>56</v>
      </c>
      <c r="E732" s="41">
        <v>800</v>
      </c>
      <c r="F732" s="43">
        <f>F606</f>
        <v>2.1566358024691359E-3</v>
      </c>
      <c r="G732" s="53" t="s">
        <v>127</v>
      </c>
      <c r="H732" s="43" t="s">
        <v>103</v>
      </c>
      <c r="I732" s="43">
        <f>I731</f>
        <v>2.1566358024691359E-3</v>
      </c>
      <c r="J732" s="71"/>
      <c r="K732" s="52" t="str">
        <f t="shared" ref="K732:K738" si="167">IF(J732="","",ABS(I732-J732))</f>
        <v/>
      </c>
      <c r="L732" s="75" t="s">
        <v>98</v>
      </c>
      <c r="M732" s="164"/>
      <c r="N732" s="164"/>
      <c r="O732" s="82" t="s">
        <v>122</v>
      </c>
      <c r="P732" s="43">
        <f>S607</f>
        <v>3.7268518518518519E-3</v>
      </c>
      <c r="Q732" s="71"/>
      <c r="R732" s="76" t="str">
        <f>IF(Q732="","",ABS(P732-Q732))</f>
        <v/>
      </c>
      <c r="S732" s="78" t="s">
        <v>98</v>
      </c>
      <c r="T732" s="164"/>
      <c r="U732" s="168"/>
      <c r="V732" s="41" t="s">
        <v>149</v>
      </c>
      <c r="W732" s="43">
        <f>Z604</f>
        <v>3.3584104938271606E-3</v>
      </c>
      <c r="X732" s="71"/>
      <c r="Y732" s="52" t="str">
        <f>IF(X732="","",ABS(W732-X732))</f>
        <v/>
      </c>
      <c r="Z732" s="78" t="s">
        <v>98</v>
      </c>
      <c r="AA732" s="164"/>
      <c r="AB732" s="169"/>
      <c r="AC732" s="37"/>
      <c r="AD732" s="41"/>
      <c r="AE732" s="41"/>
      <c r="AF732" s="41"/>
    </row>
    <row r="733" spans="1:32" ht="16" customHeight="1" x14ac:dyDescent="0.2">
      <c r="A733" s="37"/>
      <c r="B733" s="174"/>
      <c r="C733" s="175"/>
      <c r="D733" s="165" t="s">
        <v>111</v>
      </c>
      <c r="E733" s="166"/>
      <c r="F733" s="166"/>
      <c r="G733" s="167"/>
      <c r="H733" s="43" t="s">
        <v>104</v>
      </c>
      <c r="I733" s="43">
        <f t="shared" ref="I733:I738" si="168">I732</f>
        <v>2.1566358024691359E-3</v>
      </c>
      <c r="J733" s="71"/>
      <c r="K733" s="52" t="str">
        <f t="shared" si="167"/>
        <v/>
      </c>
      <c r="L733" s="170" t="s">
        <v>112</v>
      </c>
      <c r="M733" s="171"/>
      <c r="N733" s="90"/>
      <c r="O733" s="82" t="s">
        <v>119</v>
      </c>
      <c r="P733" s="43">
        <f>S605</f>
        <v>3.1481481481481482E-3</v>
      </c>
      <c r="Q733" s="71"/>
      <c r="R733" s="76" t="str">
        <f t="shared" ref="R733:R734" si="169">IF(Q733="","",ABS(P733-Q733))</f>
        <v/>
      </c>
      <c r="S733" s="170" t="s">
        <v>112</v>
      </c>
      <c r="T733" s="171"/>
      <c r="U733" s="83"/>
      <c r="V733" s="166" t="s">
        <v>111</v>
      </c>
      <c r="W733" s="166"/>
      <c r="X733" s="166"/>
      <c r="Y733" s="167"/>
      <c r="Z733" s="170" t="s">
        <v>112</v>
      </c>
      <c r="AA733" s="171"/>
      <c r="AB733" s="80"/>
      <c r="AC733" s="37"/>
      <c r="AD733" s="41"/>
      <c r="AE733" s="41"/>
      <c r="AF733" s="41"/>
    </row>
    <row r="734" spans="1:32" ht="16" customHeight="1" x14ac:dyDescent="0.2">
      <c r="A734" s="37"/>
      <c r="B734" s="174"/>
      <c r="C734" s="175"/>
      <c r="D734" s="165"/>
      <c r="E734" s="166"/>
      <c r="F734" s="166"/>
      <c r="G734" s="167"/>
      <c r="H734" s="43" t="s">
        <v>105</v>
      </c>
      <c r="I734" s="43">
        <f t="shared" si="168"/>
        <v>2.1566358024691359E-3</v>
      </c>
      <c r="J734" s="71"/>
      <c r="K734" s="52" t="str">
        <f t="shared" si="167"/>
        <v/>
      </c>
      <c r="L734" s="163" t="s">
        <v>88</v>
      </c>
      <c r="M734" s="164"/>
      <c r="N734" s="164"/>
      <c r="O734" s="82" t="s">
        <v>122</v>
      </c>
      <c r="P734" s="43">
        <f>S607</f>
        <v>3.7268518518518519E-3</v>
      </c>
      <c r="Q734" s="71"/>
      <c r="R734" s="76" t="str">
        <f t="shared" si="169"/>
        <v/>
      </c>
      <c r="S734" s="163" t="s">
        <v>88</v>
      </c>
      <c r="T734" s="164"/>
      <c r="U734" s="168"/>
      <c r="V734" s="30"/>
      <c r="W734" s="30"/>
      <c r="X734" s="30"/>
      <c r="Y734" s="30"/>
      <c r="Z734" s="163" t="s">
        <v>88</v>
      </c>
      <c r="AA734" s="164"/>
      <c r="AB734" s="169"/>
      <c r="AC734" s="37"/>
      <c r="AD734" s="41"/>
      <c r="AE734" s="41"/>
      <c r="AF734" s="41"/>
    </row>
    <row r="735" spans="1:32" ht="16" customHeight="1" x14ac:dyDescent="0.2">
      <c r="A735" s="37"/>
      <c r="B735" s="174"/>
      <c r="C735" s="175"/>
      <c r="D735" s="82"/>
      <c r="E735" s="41"/>
      <c r="F735" s="43"/>
      <c r="G735" s="53"/>
      <c r="H735" s="43" t="s">
        <v>106</v>
      </c>
      <c r="I735" s="43">
        <f t="shared" si="168"/>
        <v>2.1566358024691359E-3</v>
      </c>
      <c r="J735" s="71"/>
      <c r="K735" s="52" t="str">
        <f t="shared" si="167"/>
        <v/>
      </c>
      <c r="L735" s="163"/>
      <c r="M735" s="164"/>
      <c r="N735" s="164"/>
      <c r="O735" s="165" t="s">
        <v>111</v>
      </c>
      <c r="P735" s="166"/>
      <c r="Q735" s="166"/>
      <c r="R735" s="166"/>
      <c r="S735" s="163"/>
      <c r="T735" s="164"/>
      <c r="U735" s="168"/>
      <c r="V735" s="30"/>
      <c r="W735" s="30"/>
      <c r="X735" s="30"/>
      <c r="Y735" s="30"/>
      <c r="Z735" s="163"/>
      <c r="AA735" s="164"/>
      <c r="AB735" s="169"/>
      <c r="AC735" s="37"/>
      <c r="AD735" s="41"/>
      <c r="AE735" s="41"/>
      <c r="AF735" s="41"/>
    </row>
    <row r="736" spans="1:32" ht="16" customHeight="1" x14ac:dyDescent="0.2">
      <c r="A736" s="37"/>
      <c r="B736" s="174"/>
      <c r="C736" s="175"/>
      <c r="D736" s="82"/>
      <c r="E736" s="41"/>
      <c r="F736" s="43"/>
      <c r="G736" s="53"/>
      <c r="H736" s="43" t="s">
        <v>107</v>
      </c>
      <c r="I736" s="43">
        <f t="shared" si="168"/>
        <v>2.1566358024691359E-3</v>
      </c>
      <c r="J736" s="71"/>
      <c r="K736" s="52" t="str">
        <f t="shared" si="167"/>
        <v/>
      </c>
      <c r="L736" s="294"/>
      <c r="M736" s="166"/>
      <c r="N736" s="166"/>
      <c r="O736" s="165"/>
      <c r="P736" s="166"/>
      <c r="Q736" s="166"/>
      <c r="R736" s="166"/>
      <c r="S736" s="294"/>
      <c r="T736" s="166"/>
      <c r="U736" s="295"/>
      <c r="V736" s="30"/>
      <c r="W736" s="30"/>
      <c r="X736" s="30"/>
      <c r="Y736" s="30"/>
      <c r="Z736" s="294"/>
      <c r="AA736" s="166"/>
      <c r="AB736" s="296"/>
      <c r="AC736" s="37"/>
      <c r="AD736" s="41"/>
      <c r="AE736" s="41"/>
      <c r="AF736" s="41"/>
    </row>
    <row r="737" spans="1:32" ht="16" customHeight="1" x14ac:dyDescent="0.2">
      <c r="A737" s="37"/>
      <c r="B737" s="174"/>
      <c r="C737" s="175"/>
      <c r="D737" s="82"/>
      <c r="E737" s="41"/>
      <c r="F737" s="43"/>
      <c r="G737" s="53"/>
      <c r="H737" s="43" t="s">
        <v>108</v>
      </c>
      <c r="I737" s="43">
        <f t="shared" si="168"/>
        <v>2.1566358024691359E-3</v>
      </c>
      <c r="J737" s="71"/>
      <c r="K737" s="52" t="str">
        <f t="shared" si="167"/>
        <v/>
      </c>
      <c r="L737" s="294"/>
      <c r="M737" s="166"/>
      <c r="N737" s="166"/>
      <c r="O737" s="165"/>
      <c r="P737" s="166"/>
      <c r="Q737" s="166"/>
      <c r="R737" s="166"/>
      <c r="S737" s="294"/>
      <c r="T737" s="166"/>
      <c r="U737" s="295"/>
      <c r="V737" s="30"/>
      <c r="W737" s="30"/>
      <c r="X737" s="30"/>
      <c r="Y737" s="30"/>
      <c r="Z737" s="294"/>
      <c r="AA737" s="166"/>
      <c r="AB737" s="296"/>
      <c r="AC737" s="37"/>
      <c r="AD737" s="41"/>
      <c r="AE737" s="41"/>
      <c r="AF737" s="41"/>
    </row>
    <row r="738" spans="1:32" ht="16" customHeight="1" thickBot="1" x14ac:dyDescent="0.25">
      <c r="A738" s="37"/>
      <c r="B738" s="174"/>
      <c r="C738" s="175"/>
      <c r="D738" s="82"/>
      <c r="E738" s="41"/>
      <c r="F738" s="43"/>
      <c r="G738" s="53"/>
      <c r="H738" s="43" t="s">
        <v>109</v>
      </c>
      <c r="I738" s="43">
        <f t="shared" si="168"/>
        <v>2.1566358024691359E-3</v>
      </c>
      <c r="J738" s="71"/>
      <c r="K738" s="52" t="str">
        <f t="shared" si="167"/>
        <v/>
      </c>
      <c r="L738" s="41"/>
      <c r="M738" s="41"/>
      <c r="N738" s="30"/>
      <c r="O738" s="82"/>
      <c r="P738" s="43"/>
      <c r="Q738" s="43"/>
      <c r="R738" s="52"/>
      <c r="S738" s="50"/>
      <c r="T738" s="41"/>
      <c r="U738" s="85"/>
      <c r="V738" s="30"/>
      <c r="W738" s="30"/>
      <c r="X738" s="30"/>
      <c r="Y738" s="30"/>
      <c r="Z738" s="50"/>
      <c r="AA738" s="41"/>
      <c r="AB738" s="35"/>
      <c r="AC738" s="37"/>
      <c r="AD738" s="41"/>
      <c r="AE738" s="41"/>
      <c r="AF738" s="41"/>
    </row>
    <row r="739" spans="1:32" ht="16" customHeight="1" x14ac:dyDescent="0.2">
      <c r="A739" s="37"/>
      <c r="B739" s="172">
        <f>B728+1</f>
        <v>15</v>
      </c>
      <c r="C739" s="173"/>
      <c r="D739" s="178">
        <f>D608+(B739-1)*7</f>
        <v>42752</v>
      </c>
      <c r="E739" s="179"/>
      <c r="F739" s="179"/>
      <c r="G739" s="179"/>
      <c r="H739" s="179"/>
      <c r="I739" s="179"/>
      <c r="J739" s="179"/>
      <c r="K739" s="179"/>
      <c r="L739" s="179"/>
      <c r="M739" s="179"/>
      <c r="N739" s="179"/>
      <c r="O739" s="178">
        <f>O608+(B739-1)*7</f>
        <v>42755</v>
      </c>
      <c r="P739" s="179"/>
      <c r="Q739" s="179"/>
      <c r="R739" s="179"/>
      <c r="S739" s="179"/>
      <c r="T739" s="179"/>
      <c r="U739" s="180"/>
      <c r="V739" s="179">
        <f>V608+(B739-1)*7</f>
        <v>42757</v>
      </c>
      <c r="W739" s="179"/>
      <c r="X739" s="179"/>
      <c r="Y739" s="179"/>
      <c r="Z739" s="179"/>
      <c r="AA739" s="179"/>
      <c r="AB739" s="181"/>
      <c r="AC739" s="37"/>
      <c r="AD739" s="41"/>
      <c r="AE739" s="41"/>
      <c r="AF739" s="41"/>
    </row>
    <row r="740" spans="1:32" ht="16" customHeight="1" x14ac:dyDescent="0.2">
      <c r="A740" s="37"/>
      <c r="B740" s="174"/>
      <c r="C740" s="175"/>
      <c r="D740" s="182" t="s">
        <v>99</v>
      </c>
      <c r="E740" s="183"/>
      <c r="F740" s="183"/>
      <c r="G740" s="184"/>
      <c r="H740" s="185" t="s">
        <v>101</v>
      </c>
      <c r="I740" s="183"/>
      <c r="J740" s="183"/>
      <c r="K740" s="184"/>
      <c r="L740" s="183" t="s">
        <v>100</v>
      </c>
      <c r="M740" s="183"/>
      <c r="N740" s="183"/>
      <c r="O740" s="182" t="s">
        <v>99</v>
      </c>
      <c r="P740" s="183"/>
      <c r="Q740" s="183"/>
      <c r="R740" s="183"/>
      <c r="S740" s="185" t="s">
        <v>100</v>
      </c>
      <c r="T740" s="183"/>
      <c r="U740" s="186"/>
      <c r="V740" s="183" t="s">
        <v>99</v>
      </c>
      <c r="W740" s="183"/>
      <c r="X740" s="183"/>
      <c r="Y740" s="183"/>
      <c r="Z740" s="185" t="s">
        <v>100</v>
      </c>
      <c r="AA740" s="183"/>
      <c r="AB740" s="187"/>
      <c r="AC740" s="37"/>
      <c r="AD740" s="41"/>
      <c r="AE740" s="41"/>
      <c r="AF740" s="41"/>
    </row>
    <row r="741" spans="1:32" ht="16" customHeight="1" x14ac:dyDescent="0.2">
      <c r="A741" s="37"/>
      <c r="B741" s="174"/>
      <c r="C741" s="175"/>
      <c r="D741" s="188" t="s">
        <v>110</v>
      </c>
      <c r="E741" s="189"/>
      <c r="F741" s="189"/>
      <c r="G741" s="190"/>
      <c r="H741" s="43" t="s">
        <v>113</v>
      </c>
      <c r="I741" s="43" t="s">
        <v>114</v>
      </c>
      <c r="J741" s="71" t="s">
        <v>115</v>
      </c>
      <c r="K741" s="53" t="s">
        <v>116</v>
      </c>
      <c r="L741" s="74" t="s">
        <v>96</v>
      </c>
      <c r="M741" s="191"/>
      <c r="N741" s="191"/>
      <c r="O741" s="188" t="s">
        <v>110</v>
      </c>
      <c r="P741" s="189"/>
      <c r="Q741" s="189"/>
      <c r="R741" s="189"/>
      <c r="S741" s="77" t="s">
        <v>96</v>
      </c>
      <c r="T741" s="191"/>
      <c r="U741" s="192"/>
      <c r="V741" s="189" t="s">
        <v>110</v>
      </c>
      <c r="W741" s="189"/>
      <c r="X741" s="189"/>
      <c r="Y741" s="189"/>
      <c r="Z741" s="77" t="s">
        <v>96</v>
      </c>
      <c r="AA741" s="191"/>
      <c r="AB741" s="193"/>
      <c r="AC741" s="37"/>
      <c r="AD741" s="41"/>
      <c r="AE741" s="41"/>
      <c r="AF741" s="41"/>
    </row>
    <row r="742" spans="1:32" ht="16" customHeight="1" x14ac:dyDescent="0.2">
      <c r="A742" s="37"/>
      <c r="B742" s="174"/>
      <c r="C742" s="175"/>
      <c r="D742" s="82" t="s">
        <v>53</v>
      </c>
      <c r="E742" s="41" t="s">
        <v>54</v>
      </c>
      <c r="F742" s="41" t="s">
        <v>90</v>
      </c>
      <c r="G742" s="53" t="s">
        <v>55</v>
      </c>
      <c r="H742" s="43" t="s">
        <v>102</v>
      </c>
      <c r="I742" s="43">
        <f>F743</f>
        <v>2.7247299382716049E-3</v>
      </c>
      <c r="J742" s="71"/>
      <c r="K742" s="52" t="str">
        <f>IF(J742="","",ABS(I742-J742))</f>
        <v/>
      </c>
      <c r="L742" s="75" t="s">
        <v>97</v>
      </c>
      <c r="M742" s="164"/>
      <c r="N742" s="164"/>
      <c r="O742" s="82" t="s">
        <v>54</v>
      </c>
      <c r="P742" s="41" t="s">
        <v>65</v>
      </c>
      <c r="Q742" s="67" t="s">
        <v>117</v>
      </c>
      <c r="R742" s="41" t="s">
        <v>116</v>
      </c>
      <c r="S742" s="78" t="s">
        <v>97</v>
      </c>
      <c r="T742" s="164"/>
      <c r="U742" s="168"/>
      <c r="V742" s="41" t="s">
        <v>54</v>
      </c>
      <c r="W742" s="41" t="s">
        <v>65</v>
      </c>
      <c r="X742" s="67" t="s">
        <v>117</v>
      </c>
      <c r="Y742" s="41" t="s">
        <v>116</v>
      </c>
      <c r="Z742" s="78" t="s">
        <v>97</v>
      </c>
      <c r="AA742" s="164"/>
      <c r="AB742" s="169"/>
      <c r="AC742" s="37"/>
      <c r="AD742" s="41"/>
      <c r="AE742" s="41"/>
      <c r="AF742" s="41"/>
    </row>
    <row r="743" spans="1:32" ht="16" customHeight="1" x14ac:dyDescent="0.2">
      <c r="A743" s="37"/>
      <c r="B743" s="174"/>
      <c r="C743" s="175"/>
      <c r="D743" s="82" t="s">
        <v>58</v>
      </c>
      <c r="E743" s="41">
        <v>1000</v>
      </c>
      <c r="F743" s="43">
        <f>F607</f>
        <v>2.7247299382716049E-3</v>
      </c>
      <c r="G743" s="53" t="s">
        <v>57</v>
      </c>
      <c r="H743" s="43" t="s">
        <v>103</v>
      </c>
      <c r="I743" s="43">
        <f>I742</f>
        <v>2.7247299382716049E-3</v>
      </c>
      <c r="J743" s="71"/>
      <c r="K743" s="52" t="str">
        <f t="shared" ref="K743:K746" si="170">IF(J743="","",ABS(I743-J743))</f>
        <v/>
      </c>
      <c r="L743" s="75" t="s">
        <v>98</v>
      </c>
      <c r="M743" s="164"/>
      <c r="N743" s="164"/>
      <c r="O743" s="82" t="s">
        <v>118</v>
      </c>
      <c r="P743" s="43">
        <f>S607</f>
        <v>3.7268518518518519E-3</v>
      </c>
      <c r="Q743" s="71"/>
      <c r="R743" s="76" t="str">
        <f>IF(Q743="","",ABS(P743-Q743))</f>
        <v/>
      </c>
      <c r="S743" s="78" t="s">
        <v>98</v>
      </c>
      <c r="T743" s="164"/>
      <c r="U743" s="168"/>
      <c r="V743" s="41" t="s">
        <v>139</v>
      </c>
      <c r="W743" s="43">
        <f>Z604</f>
        <v>3.3584104938271606E-3</v>
      </c>
      <c r="X743" s="71"/>
      <c r="Y743" s="52" t="str">
        <f>IF(X743="","",ABS(W743-X743))</f>
        <v/>
      </c>
      <c r="Z743" s="78" t="s">
        <v>98</v>
      </c>
      <c r="AA743" s="164"/>
      <c r="AB743" s="169"/>
      <c r="AC743" s="37"/>
      <c r="AD743" s="41"/>
      <c r="AE743" s="41"/>
      <c r="AF743" s="41"/>
    </row>
    <row r="744" spans="1:32" ht="16" customHeight="1" x14ac:dyDescent="0.2">
      <c r="A744" s="37"/>
      <c r="B744" s="174"/>
      <c r="C744" s="175"/>
      <c r="D744" s="165" t="s">
        <v>111</v>
      </c>
      <c r="E744" s="166"/>
      <c r="F744" s="166"/>
      <c r="G744" s="167"/>
      <c r="H744" s="43" t="s">
        <v>104</v>
      </c>
      <c r="I744" s="43">
        <f t="shared" ref="I744:I745" si="171">I743</f>
        <v>2.7247299382716049E-3</v>
      </c>
      <c r="J744" s="71"/>
      <c r="K744" s="52" t="str">
        <f t="shared" si="170"/>
        <v/>
      </c>
      <c r="L744" s="170" t="s">
        <v>112</v>
      </c>
      <c r="M744" s="171"/>
      <c r="N744" s="90"/>
      <c r="O744" s="82" t="s">
        <v>120</v>
      </c>
      <c r="P744" s="43">
        <f>S604</f>
        <v>3.0324074074074073E-3</v>
      </c>
      <c r="Q744" s="71"/>
      <c r="R744" s="76" t="str">
        <f t="shared" ref="R744:R745" si="172">IF(Q744="","",ABS(P744-Q744))</f>
        <v/>
      </c>
      <c r="S744" s="170" t="s">
        <v>112</v>
      </c>
      <c r="T744" s="171"/>
      <c r="U744" s="83"/>
      <c r="V744" s="166" t="s">
        <v>111</v>
      </c>
      <c r="W744" s="166"/>
      <c r="X744" s="166"/>
      <c r="Y744" s="167"/>
      <c r="Z744" s="170" t="s">
        <v>112</v>
      </c>
      <c r="AA744" s="171"/>
      <c r="AB744" s="80"/>
      <c r="AC744" s="37"/>
      <c r="AD744" s="41"/>
      <c r="AE744" s="41"/>
      <c r="AF744" s="41"/>
    </row>
    <row r="745" spans="1:32" ht="16" customHeight="1" x14ac:dyDescent="0.2">
      <c r="A745" s="37"/>
      <c r="B745" s="174"/>
      <c r="C745" s="175"/>
      <c r="D745" s="165"/>
      <c r="E745" s="166"/>
      <c r="F745" s="166"/>
      <c r="G745" s="167"/>
      <c r="H745" s="43" t="s">
        <v>105</v>
      </c>
      <c r="I745" s="43">
        <f t="shared" si="171"/>
        <v>2.7247299382716049E-3</v>
      </c>
      <c r="J745" s="71"/>
      <c r="K745" s="52" t="str">
        <f t="shared" si="170"/>
        <v/>
      </c>
      <c r="L745" s="163" t="s">
        <v>88</v>
      </c>
      <c r="M745" s="164"/>
      <c r="N745" s="164"/>
      <c r="O745" s="82" t="s">
        <v>122</v>
      </c>
      <c r="P745" s="43">
        <f>S607</f>
        <v>3.7268518518518519E-3</v>
      </c>
      <c r="Q745" s="71"/>
      <c r="R745" s="76" t="str">
        <f t="shared" si="172"/>
        <v/>
      </c>
      <c r="S745" s="163" t="s">
        <v>88</v>
      </c>
      <c r="T745" s="164"/>
      <c r="U745" s="168"/>
      <c r="V745" s="30"/>
      <c r="W745" s="30"/>
      <c r="X745" s="30"/>
      <c r="Y745" s="30"/>
      <c r="Z745" s="163" t="s">
        <v>88</v>
      </c>
      <c r="AA745" s="164"/>
      <c r="AB745" s="169"/>
      <c r="AC745" s="37"/>
      <c r="AD745" s="41"/>
      <c r="AE745" s="41"/>
      <c r="AF745" s="41"/>
    </row>
    <row r="746" spans="1:32" ht="16" customHeight="1" thickBot="1" x14ac:dyDescent="0.25">
      <c r="A746" s="37"/>
      <c r="B746" s="174"/>
      <c r="C746" s="175"/>
      <c r="D746" s="82"/>
      <c r="E746" s="41"/>
      <c r="F746" s="43"/>
      <c r="G746" s="53"/>
      <c r="H746" s="43" t="s">
        <v>106</v>
      </c>
      <c r="I746" s="43">
        <f>I745</f>
        <v>2.7247299382716049E-3</v>
      </c>
      <c r="J746" s="71"/>
      <c r="K746" s="52" t="str">
        <f t="shared" si="170"/>
        <v/>
      </c>
      <c r="L746" s="163"/>
      <c r="M746" s="164"/>
      <c r="N746" s="164"/>
      <c r="O746" s="165" t="s">
        <v>111</v>
      </c>
      <c r="P746" s="166"/>
      <c r="Q746" s="166"/>
      <c r="R746" s="166"/>
      <c r="S746" s="163"/>
      <c r="T746" s="164"/>
      <c r="U746" s="168"/>
      <c r="V746" s="30"/>
      <c r="W746" s="30"/>
      <c r="X746" s="30"/>
      <c r="Y746" s="30"/>
      <c r="Z746" s="163"/>
      <c r="AA746" s="164"/>
      <c r="AB746" s="169"/>
      <c r="AC746" s="37"/>
      <c r="AD746" s="41"/>
      <c r="AE746" s="41"/>
      <c r="AF746" s="41"/>
    </row>
    <row r="747" spans="1:32" ht="16" customHeight="1" x14ac:dyDescent="0.2">
      <c r="A747" s="37"/>
      <c r="B747" s="172">
        <f>B739+1</f>
        <v>16</v>
      </c>
      <c r="C747" s="173"/>
      <c r="D747" s="178">
        <f>D608+(B747-1)*7</f>
        <v>42759</v>
      </c>
      <c r="E747" s="179"/>
      <c r="F747" s="179"/>
      <c r="G747" s="179"/>
      <c r="H747" s="179"/>
      <c r="I747" s="179"/>
      <c r="J747" s="179"/>
      <c r="K747" s="179"/>
      <c r="L747" s="179"/>
      <c r="M747" s="179"/>
      <c r="N747" s="179"/>
      <c r="O747" s="178">
        <f>O608+(B747-1)*7</f>
        <v>42762</v>
      </c>
      <c r="P747" s="179"/>
      <c r="Q747" s="179"/>
      <c r="R747" s="179"/>
      <c r="S747" s="179"/>
      <c r="T747" s="179"/>
      <c r="U747" s="180"/>
      <c r="V747" s="179">
        <f>V608+(B747-1)*7</f>
        <v>42764</v>
      </c>
      <c r="W747" s="179"/>
      <c r="X747" s="179"/>
      <c r="Y747" s="179"/>
      <c r="Z747" s="179"/>
      <c r="AA747" s="179"/>
      <c r="AB747" s="181"/>
      <c r="AC747" s="37"/>
      <c r="AD747" s="41"/>
      <c r="AE747" s="41"/>
      <c r="AF747" s="41"/>
    </row>
    <row r="748" spans="1:32" ht="16" customHeight="1" x14ac:dyDescent="0.2">
      <c r="A748" s="37"/>
      <c r="B748" s="174"/>
      <c r="C748" s="175"/>
      <c r="D748" s="182" t="s">
        <v>99</v>
      </c>
      <c r="E748" s="183"/>
      <c r="F748" s="183"/>
      <c r="G748" s="184"/>
      <c r="H748" s="185" t="s">
        <v>101</v>
      </c>
      <c r="I748" s="183"/>
      <c r="J748" s="183"/>
      <c r="K748" s="184"/>
      <c r="L748" s="183" t="s">
        <v>100</v>
      </c>
      <c r="M748" s="183"/>
      <c r="N748" s="183"/>
      <c r="O748" s="182" t="s">
        <v>99</v>
      </c>
      <c r="P748" s="183"/>
      <c r="Q748" s="183"/>
      <c r="R748" s="183"/>
      <c r="S748" s="185" t="s">
        <v>100</v>
      </c>
      <c r="T748" s="183"/>
      <c r="U748" s="186"/>
      <c r="V748" s="183" t="s">
        <v>99</v>
      </c>
      <c r="W748" s="183"/>
      <c r="X748" s="183"/>
      <c r="Y748" s="183"/>
      <c r="Z748" s="185" t="s">
        <v>100</v>
      </c>
      <c r="AA748" s="183"/>
      <c r="AB748" s="187"/>
      <c r="AC748" s="37"/>
      <c r="AD748" s="41"/>
      <c r="AE748" s="41"/>
      <c r="AF748" s="41"/>
    </row>
    <row r="749" spans="1:32" ht="16" customHeight="1" x14ac:dyDescent="0.2">
      <c r="A749" s="37"/>
      <c r="B749" s="174"/>
      <c r="C749" s="175"/>
      <c r="D749" s="188" t="s">
        <v>110</v>
      </c>
      <c r="E749" s="189"/>
      <c r="F749" s="189"/>
      <c r="G749" s="190"/>
      <c r="H749" s="43" t="s">
        <v>113</v>
      </c>
      <c r="I749" s="43" t="s">
        <v>114</v>
      </c>
      <c r="J749" s="71" t="s">
        <v>115</v>
      </c>
      <c r="K749" s="53" t="s">
        <v>116</v>
      </c>
      <c r="L749" s="74" t="s">
        <v>96</v>
      </c>
      <c r="M749" s="191"/>
      <c r="N749" s="191"/>
      <c r="O749" s="188" t="s">
        <v>110</v>
      </c>
      <c r="P749" s="189"/>
      <c r="Q749" s="189"/>
      <c r="R749" s="189"/>
      <c r="S749" s="77" t="s">
        <v>96</v>
      </c>
      <c r="T749" s="191"/>
      <c r="U749" s="192"/>
      <c r="V749" s="189" t="s">
        <v>110</v>
      </c>
      <c r="W749" s="189"/>
      <c r="X749" s="189"/>
      <c r="Y749" s="189"/>
      <c r="Z749" s="77" t="s">
        <v>96</v>
      </c>
      <c r="AA749" s="191"/>
      <c r="AB749" s="193"/>
      <c r="AC749" s="37"/>
      <c r="AD749" s="41"/>
      <c r="AE749" s="41"/>
      <c r="AF749" s="41"/>
    </row>
    <row r="750" spans="1:32" ht="16" customHeight="1" x14ac:dyDescent="0.2">
      <c r="A750" s="37"/>
      <c r="B750" s="174"/>
      <c r="C750" s="175"/>
      <c r="D750" s="82" t="s">
        <v>53</v>
      </c>
      <c r="E750" s="41" t="s">
        <v>54</v>
      </c>
      <c r="F750" s="41" t="s">
        <v>90</v>
      </c>
      <c r="G750" s="53" t="s">
        <v>55</v>
      </c>
      <c r="H750" s="43" t="s">
        <v>102</v>
      </c>
      <c r="I750" s="43">
        <f>F751</f>
        <v>1.0551697530864197E-3</v>
      </c>
      <c r="J750" s="71"/>
      <c r="K750" s="52" t="str">
        <f>IF(J750="","",ABS(I750-J750))</f>
        <v/>
      </c>
      <c r="L750" s="75" t="s">
        <v>97</v>
      </c>
      <c r="M750" s="164"/>
      <c r="N750" s="164"/>
      <c r="O750" s="82" t="s">
        <v>54</v>
      </c>
      <c r="P750" s="41" t="s">
        <v>65</v>
      </c>
      <c r="Q750" s="67" t="s">
        <v>117</v>
      </c>
      <c r="R750" s="41" t="s">
        <v>116</v>
      </c>
      <c r="S750" s="78" t="s">
        <v>97</v>
      </c>
      <c r="T750" s="164"/>
      <c r="U750" s="168"/>
      <c r="V750" s="41"/>
      <c r="W750" s="41"/>
      <c r="X750" s="41"/>
      <c r="Y750" s="41"/>
      <c r="Z750" s="78" t="s">
        <v>97</v>
      </c>
      <c r="AA750" s="164"/>
      <c r="AB750" s="169"/>
      <c r="AC750" s="37"/>
      <c r="AD750" s="41"/>
      <c r="AE750" s="41"/>
      <c r="AF750" s="41"/>
    </row>
    <row r="751" spans="1:32" ht="16" customHeight="1" x14ac:dyDescent="0.2">
      <c r="A751" s="37"/>
      <c r="B751" s="174"/>
      <c r="C751" s="175"/>
      <c r="D751" s="82" t="s">
        <v>63</v>
      </c>
      <c r="E751" s="41">
        <v>400</v>
      </c>
      <c r="F751" s="43">
        <f>F604</f>
        <v>1.0551697530864197E-3</v>
      </c>
      <c r="G751" s="53" t="s">
        <v>57</v>
      </c>
      <c r="H751" s="43" t="s">
        <v>103</v>
      </c>
      <c r="I751" s="43">
        <f>I750</f>
        <v>1.0551697530864197E-3</v>
      </c>
      <c r="J751" s="71"/>
      <c r="K751" s="52" t="str">
        <f t="shared" ref="K751:K755" si="173">IF(J751="","",ABS(I751-J751))</f>
        <v/>
      </c>
      <c r="L751" s="75" t="s">
        <v>98</v>
      </c>
      <c r="M751" s="164"/>
      <c r="N751" s="164"/>
      <c r="O751" s="82" t="s">
        <v>120</v>
      </c>
      <c r="P751" s="43">
        <f>Z604</f>
        <v>3.3584104938271606E-3</v>
      </c>
      <c r="Q751" s="71"/>
      <c r="R751" s="52" t="str">
        <f>IF(Q751="","",ABS(P751-Q751))</f>
        <v/>
      </c>
      <c r="S751" s="78" t="s">
        <v>98</v>
      </c>
      <c r="T751" s="164"/>
      <c r="U751" s="168"/>
      <c r="V751" s="230" t="s">
        <v>160</v>
      </c>
      <c r="W751" s="231"/>
      <c r="X751" s="231"/>
      <c r="Y751" s="297"/>
      <c r="Z751" s="78" t="s">
        <v>98</v>
      </c>
      <c r="AA751" s="164"/>
      <c r="AB751" s="169"/>
      <c r="AC751" s="37"/>
      <c r="AD751" s="41"/>
      <c r="AE751" s="41"/>
      <c r="AF751" s="41"/>
    </row>
    <row r="752" spans="1:32" ht="16" customHeight="1" x14ac:dyDescent="0.2">
      <c r="A752" s="37"/>
      <c r="B752" s="174"/>
      <c r="C752" s="175"/>
      <c r="D752" s="165" t="s">
        <v>111</v>
      </c>
      <c r="E752" s="166"/>
      <c r="F752" s="166"/>
      <c r="G752" s="167"/>
      <c r="H752" s="43" t="s">
        <v>104</v>
      </c>
      <c r="I752" s="43">
        <f t="shared" ref="I752:I755" si="174">I751</f>
        <v>1.0551697530864197E-3</v>
      </c>
      <c r="J752" s="71"/>
      <c r="K752" s="52" t="str">
        <f t="shared" si="173"/>
        <v/>
      </c>
      <c r="L752" s="170" t="s">
        <v>112</v>
      </c>
      <c r="M752" s="171"/>
      <c r="N752" s="90"/>
      <c r="O752" s="165" t="s">
        <v>111</v>
      </c>
      <c r="P752" s="166"/>
      <c r="Q752" s="166"/>
      <c r="R752" s="167"/>
      <c r="S752" s="170" t="s">
        <v>112</v>
      </c>
      <c r="T752" s="171"/>
      <c r="U752" s="83"/>
      <c r="V752" s="30"/>
      <c r="W752" s="30"/>
      <c r="X752" s="30"/>
      <c r="Y752" s="102"/>
      <c r="Z752" s="170" t="s">
        <v>112</v>
      </c>
      <c r="AA752" s="171"/>
      <c r="AB752" s="80"/>
      <c r="AC752" s="37"/>
      <c r="AD752" s="41"/>
      <c r="AE752" s="41"/>
      <c r="AF752" s="41"/>
    </row>
    <row r="753" spans="1:32" ht="16" customHeight="1" x14ac:dyDescent="0.2">
      <c r="A753" s="37"/>
      <c r="B753" s="174"/>
      <c r="C753" s="175"/>
      <c r="D753" s="82"/>
      <c r="E753" s="41"/>
      <c r="F753" s="43"/>
      <c r="G753" s="53"/>
      <c r="H753" s="43" t="s">
        <v>105</v>
      </c>
      <c r="I753" s="43">
        <f t="shared" si="174"/>
        <v>1.0551697530864197E-3</v>
      </c>
      <c r="J753" s="71"/>
      <c r="K753" s="52" t="str">
        <f t="shared" si="173"/>
        <v/>
      </c>
      <c r="L753" s="163" t="s">
        <v>88</v>
      </c>
      <c r="M753" s="164"/>
      <c r="N753" s="164"/>
      <c r="O753" s="82"/>
      <c r="P753" s="43"/>
      <c r="Q753" s="41"/>
      <c r="R753" s="52"/>
      <c r="S753" s="163" t="s">
        <v>88</v>
      </c>
      <c r="T753" s="164"/>
      <c r="U753" s="168"/>
      <c r="V753" s="166" t="s">
        <v>111</v>
      </c>
      <c r="W753" s="166"/>
      <c r="X753" s="166"/>
      <c r="Y753" s="167"/>
      <c r="Z753" s="163" t="s">
        <v>88</v>
      </c>
      <c r="AA753" s="164"/>
      <c r="AB753" s="169"/>
      <c r="AC753" s="37"/>
      <c r="AD753" s="41"/>
      <c r="AE753" s="41"/>
      <c r="AF753" s="41"/>
    </row>
    <row r="754" spans="1:32" ht="16" customHeight="1" x14ac:dyDescent="0.2">
      <c r="A754" s="37"/>
      <c r="B754" s="174"/>
      <c r="C754" s="175"/>
      <c r="D754" s="82"/>
      <c r="E754" s="41"/>
      <c r="F754" s="43"/>
      <c r="G754" s="53"/>
      <c r="H754" s="43" t="s">
        <v>106</v>
      </c>
      <c r="I754" s="43">
        <f t="shared" si="174"/>
        <v>1.0551697530864197E-3</v>
      </c>
      <c r="J754" s="71"/>
      <c r="K754" s="52" t="str">
        <f t="shared" si="173"/>
        <v/>
      </c>
      <c r="L754" s="163"/>
      <c r="M754" s="164"/>
      <c r="N754" s="164"/>
      <c r="O754" s="165"/>
      <c r="P754" s="166"/>
      <c r="Q754" s="166"/>
      <c r="R754" s="167"/>
      <c r="S754" s="163"/>
      <c r="T754" s="164"/>
      <c r="U754" s="168"/>
      <c r="V754" s="30"/>
      <c r="W754" s="30"/>
      <c r="X754" s="30"/>
      <c r="Y754" s="30"/>
      <c r="Z754" s="163"/>
      <c r="AA754" s="164"/>
      <c r="AB754" s="169"/>
      <c r="AC754" s="37"/>
      <c r="AD754" s="41"/>
      <c r="AE754" s="41"/>
      <c r="AF754" s="41"/>
    </row>
    <row r="755" spans="1:32" ht="16" customHeight="1" thickBot="1" x14ac:dyDescent="0.25">
      <c r="A755" s="37"/>
      <c r="B755" s="176"/>
      <c r="C755" s="177"/>
      <c r="D755" s="88"/>
      <c r="E755" s="45"/>
      <c r="F755" s="46"/>
      <c r="G755" s="55"/>
      <c r="H755" s="46" t="s">
        <v>107</v>
      </c>
      <c r="I755" s="46">
        <f t="shared" si="174"/>
        <v>1.0551697530864197E-3</v>
      </c>
      <c r="J755" s="73"/>
      <c r="K755" s="56" t="str">
        <f t="shared" si="173"/>
        <v/>
      </c>
      <c r="L755" s="45"/>
      <c r="M755" s="45"/>
      <c r="N755" s="58"/>
      <c r="O755" s="88"/>
      <c r="P755" s="45"/>
      <c r="Q755" s="45"/>
      <c r="R755" s="45"/>
      <c r="S755" s="57"/>
      <c r="T755" s="45"/>
      <c r="U755" s="89"/>
      <c r="V755" s="58"/>
      <c r="W755" s="58"/>
      <c r="X755" s="58"/>
      <c r="Y755" s="58"/>
      <c r="Z755" s="57"/>
      <c r="AA755" s="45"/>
      <c r="AB755" s="59"/>
      <c r="AC755" s="37"/>
      <c r="AD755" s="41"/>
      <c r="AE755" s="41"/>
      <c r="AF755" s="41"/>
    </row>
    <row r="756" spans="1:32" ht="16" thickTop="1" x14ac:dyDescent="0.2">
      <c r="A756" s="37"/>
      <c r="B756" s="37"/>
      <c r="C756" s="37"/>
      <c r="D756" s="37"/>
      <c r="E756" s="37"/>
      <c r="F756" s="37"/>
      <c r="G756" s="37"/>
      <c r="H756" s="37"/>
      <c r="I756" s="37"/>
      <c r="J756" s="37"/>
      <c r="K756" s="37"/>
      <c r="L756" s="37"/>
      <c r="M756" s="37"/>
      <c r="N756" s="37"/>
      <c r="O756" s="37"/>
      <c r="P756" s="37"/>
      <c r="Q756" s="37"/>
      <c r="R756" s="37"/>
      <c r="S756" s="37"/>
      <c r="T756" s="37"/>
      <c r="U756" s="37"/>
      <c r="V756" s="37"/>
      <c r="W756" s="37"/>
      <c r="X756" s="37"/>
      <c r="Y756" s="37"/>
      <c r="Z756" s="37"/>
      <c r="AA756" s="37"/>
      <c r="AB756" s="37"/>
      <c r="AC756" s="37"/>
      <c r="AD756" s="41"/>
      <c r="AE756" s="41"/>
      <c r="AF756" s="41"/>
    </row>
    <row r="757" spans="1:32" x14ac:dyDescent="0.2">
      <c r="A757" s="49"/>
      <c r="B757" s="49"/>
      <c r="C757" s="49"/>
      <c r="D757" s="49"/>
      <c r="E757" s="49"/>
      <c r="F757" s="49"/>
      <c r="G757" s="49"/>
      <c r="H757" s="49"/>
      <c r="I757" s="49"/>
      <c r="J757" s="49"/>
      <c r="K757" s="49"/>
      <c r="L757" s="49"/>
      <c r="M757" s="49"/>
      <c r="N757" s="49"/>
      <c r="O757" s="49"/>
      <c r="P757" s="49"/>
      <c r="Q757" s="49"/>
      <c r="R757" s="49"/>
      <c r="S757" s="49"/>
      <c r="T757" s="49"/>
      <c r="U757" s="49"/>
      <c r="V757" s="49"/>
      <c r="W757" s="49"/>
      <c r="X757" s="49"/>
      <c r="Y757" s="49"/>
      <c r="Z757" s="49"/>
      <c r="AA757" s="49"/>
      <c r="AB757" s="49"/>
      <c r="AC757" s="49"/>
      <c r="AD757" s="41"/>
      <c r="AE757" s="41"/>
      <c r="AF757" s="41"/>
    </row>
  </sheetData>
  <mergeCells count="2828">
    <mergeCell ref="B123:C131"/>
    <mergeCell ref="D123:N123"/>
    <mergeCell ref="O123:U123"/>
    <mergeCell ref="V123:AB123"/>
    <mergeCell ref="D124:G124"/>
    <mergeCell ref="H124:K124"/>
    <mergeCell ref="L124:N124"/>
    <mergeCell ref="O124:R124"/>
    <mergeCell ref="S124:U124"/>
    <mergeCell ref="V124:Y124"/>
    <mergeCell ref="Z124:AB124"/>
    <mergeCell ref="D125:G125"/>
    <mergeCell ref="M125:N125"/>
    <mergeCell ref="O125:R125"/>
    <mergeCell ref="T125:U125"/>
    <mergeCell ref="V125:Y125"/>
    <mergeCell ref="AA125:AB125"/>
    <mergeCell ref="M126:N126"/>
    <mergeCell ref="T126:U126"/>
    <mergeCell ref="AA126:AB126"/>
    <mergeCell ref="M127:N127"/>
    <mergeCell ref="T127:U127"/>
    <mergeCell ref="AA127:AB127"/>
    <mergeCell ref="D128:G128"/>
    <mergeCell ref="L128:M128"/>
    <mergeCell ref="S128:T128"/>
    <mergeCell ref="V128:Y128"/>
    <mergeCell ref="Z128:AA128"/>
    <mergeCell ref="L129:N129"/>
    <mergeCell ref="S129:U129"/>
    <mergeCell ref="Z129:AB129"/>
    <mergeCell ref="L130:N130"/>
    <mergeCell ref="L114:N114"/>
    <mergeCell ref="O114:R114"/>
    <mergeCell ref="S114:U114"/>
    <mergeCell ref="Z114:AB114"/>
    <mergeCell ref="O130:R130"/>
    <mergeCell ref="S130:U130"/>
    <mergeCell ref="Z130:AB130"/>
    <mergeCell ref="O128:R128"/>
    <mergeCell ref="V129:Y129"/>
    <mergeCell ref="V127:Y127"/>
    <mergeCell ref="V120:Y120"/>
    <mergeCell ref="Z120:AA120"/>
    <mergeCell ref="D121:G121"/>
    <mergeCell ref="L121:N121"/>
    <mergeCell ref="S121:U121"/>
    <mergeCell ref="Z121:AB121"/>
    <mergeCell ref="B115:C122"/>
    <mergeCell ref="D115:N115"/>
    <mergeCell ref="O115:U115"/>
    <mergeCell ref="V115:AB115"/>
    <mergeCell ref="D116:G116"/>
    <mergeCell ref="H116:K116"/>
    <mergeCell ref="L116:N116"/>
    <mergeCell ref="O116:R116"/>
    <mergeCell ref="S116:U116"/>
    <mergeCell ref="V116:Y116"/>
    <mergeCell ref="Z116:AB116"/>
    <mergeCell ref="D117:G117"/>
    <mergeCell ref="M117:N117"/>
    <mergeCell ref="O117:R117"/>
    <mergeCell ref="T117:U117"/>
    <mergeCell ref="V117:Y117"/>
    <mergeCell ref="AA117:AB117"/>
    <mergeCell ref="M118:N118"/>
    <mergeCell ref="T118:U118"/>
    <mergeCell ref="AA118:AB118"/>
    <mergeCell ref="M119:N119"/>
    <mergeCell ref="T119:U119"/>
    <mergeCell ref="AA119:AB119"/>
    <mergeCell ref="D120:G120"/>
    <mergeCell ref="L120:M120"/>
    <mergeCell ref="O120:R120"/>
    <mergeCell ref="S120:T120"/>
    <mergeCell ref="L122:N122"/>
    <mergeCell ref="O122:R122"/>
    <mergeCell ref="S122:U122"/>
    <mergeCell ref="Z122:AB122"/>
    <mergeCell ref="M108:N108"/>
    <mergeCell ref="T108:U108"/>
    <mergeCell ref="AA108:AB108"/>
    <mergeCell ref="M109:N109"/>
    <mergeCell ref="T109:U109"/>
    <mergeCell ref="AA109:AB109"/>
    <mergeCell ref="L110:M110"/>
    <mergeCell ref="S110:T110"/>
    <mergeCell ref="V110:Y110"/>
    <mergeCell ref="Z110:AA110"/>
    <mergeCell ref="L111:N111"/>
    <mergeCell ref="S111:U111"/>
    <mergeCell ref="Z111:AB111"/>
    <mergeCell ref="L112:N112"/>
    <mergeCell ref="S112:U112"/>
    <mergeCell ref="Z112:AB112"/>
    <mergeCell ref="D113:G113"/>
    <mergeCell ref="D110:G110"/>
    <mergeCell ref="AA101:AB101"/>
    <mergeCell ref="D102:G102"/>
    <mergeCell ref="L102:M102"/>
    <mergeCell ref="O102:R102"/>
    <mergeCell ref="S102:T102"/>
    <mergeCell ref="V102:Y102"/>
    <mergeCell ref="Z102:AA102"/>
    <mergeCell ref="D103:G103"/>
    <mergeCell ref="L103:N103"/>
    <mergeCell ref="S103:U103"/>
    <mergeCell ref="Z103:AB103"/>
    <mergeCell ref="L104:N104"/>
    <mergeCell ref="O104:R104"/>
    <mergeCell ref="S104:U104"/>
    <mergeCell ref="Z104:AB104"/>
    <mergeCell ref="B105:C114"/>
    <mergeCell ref="D105:N105"/>
    <mergeCell ref="O105:U105"/>
    <mergeCell ref="V105:AB105"/>
    <mergeCell ref="D106:G106"/>
    <mergeCell ref="H106:K106"/>
    <mergeCell ref="L106:N106"/>
    <mergeCell ref="O106:R106"/>
    <mergeCell ref="S106:U106"/>
    <mergeCell ref="V106:Y106"/>
    <mergeCell ref="Z106:AB106"/>
    <mergeCell ref="D107:G107"/>
    <mergeCell ref="M107:N107"/>
    <mergeCell ref="O107:R107"/>
    <mergeCell ref="T107:U107"/>
    <mergeCell ref="V107:Y107"/>
    <mergeCell ref="AA107:AB107"/>
    <mergeCell ref="V93:Y93"/>
    <mergeCell ref="Z93:AA93"/>
    <mergeCell ref="L94:N94"/>
    <mergeCell ref="S94:U94"/>
    <mergeCell ref="Z94:AB94"/>
    <mergeCell ref="L95:N95"/>
    <mergeCell ref="S95:U95"/>
    <mergeCell ref="Z95:AB95"/>
    <mergeCell ref="D98:G98"/>
    <mergeCell ref="L98:N98"/>
    <mergeCell ref="S98:U98"/>
    <mergeCell ref="Z98:AB98"/>
    <mergeCell ref="D93:G93"/>
    <mergeCell ref="O95:R95"/>
    <mergeCell ref="B97:C104"/>
    <mergeCell ref="D97:N97"/>
    <mergeCell ref="O97:U97"/>
    <mergeCell ref="V97:AB97"/>
    <mergeCell ref="H98:K98"/>
    <mergeCell ref="O98:R98"/>
    <mergeCell ref="V98:Y98"/>
    <mergeCell ref="D99:G99"/>
    <mergeCell ref="M99:N99"/>
    <mergeCell ref="O99:R99"/>
    <mergeCell ref="T99:U99"/>
    <mergeCell ref="V99:Y99"/>
    <mergeCell ref="AA99:AB99"/>
    <mergeCell ref="M100:N100"/>
    <mergeCell ref="T100:U100"/>
    <mergeCell ref="AA100:AB100"/>
    <mergeCell ref="M101:N101"/>
    <mergeCell ref="T101:U101"/>
    <mergeCell ref="L82:N82"/>
    <mergeCell ref="S82:U82"/>
    <mergeCell ref="Z82:AB82"/>
    <mergeCell ref="L87:N87"/>
    <mergeCell ref="S87:U87"/>
    <mergeCell ref="Z87:AB87"/>
    <mergeCell ref="B88:C96"/>
    <mergeCell ref="D88:N88"/>
    <mergeCell ref="O88:U88"/>
    <mergeCell ref="V88:AB88"/>
    <mergeCell ref="D89:G89"/>
    <mergeCell ref="H89:K89"/>
    <mergeCell ref="L89:N89"/>
    <mergeCell ref="O89:R89"/>
    <mergeCell ref="S89:U89"/>
    <mergeCell ref="V89:Y89"/>
    <mergeCell ref="Z89:AB89"/>
    <mergeCell ref="D90:G90"/>
    <mergeCell ref="M90:N90"/>
    <mergeCell ref="O90:R90"/>
    <mergeCell ref="T90:U90"/>
    <mergeCell ref="V90:Y90"/>
    <mergeCell ref="AA90:AB90"/>
    <mergeCell ref="M91:N91"/>
    <mergeCell ref="T91:U91"/>
    <mergeCell ref="AA91:AB91"/>
    <mergeCell ref="M92:N92"/>
    <mergeCell ref="T92:U92"/>
    <mergeCell ref="AA92:AB92"/>
    <mergeCell ref="L93:M93"/>
    <mergeCell ref="S93:T93"/>
    <mergeCell ref="B75:C87"/>
    <mergeCell ref="V75:AB75"/>
    <mergeCell ref="D76:G76"/>
    <mergeCell ref="H76:K76"/>
    <mergeCell ref="L76:N76"/>
    <mergeCell ref="O76:R76"/>
    <mergeCell ref="S76:U76"/>
    <mergeCell ref="V76:Y76"/>
    <mergeCell ref="Z76:AB76"/>
    <mergeCell ref="D77:G77"/>
    <mergeCell ref="M77:N77"/>
    <mergeCell ref="O77:R77"/>
    <mergeCell ref="T77:U77"/>
    <mergeCell ref="V77:Y77"/>
    <mergeCell ref="AA77:AB77"/>
    <mergeCell ref="M78:N78"/>
    <mergeCell ref="T78:U78"/>
    <mergeCell ref="AA78:AB78"/>
    <mergeCell ref="M79:N79"/>
    <mergeCell ref="T79:U79"/>
    <mergeCell ref="AA79:AB79"/>
    <mergeCell ref="D80:G80"/>
    <mergeCell ref="L80:M80"/>
    <mergeCell ref="O80:R80"/>
    <mergeCell ref="S80:T80"/>
    <mergeCell ref="V80:Y80"/>
    <mergeCell ref="Z80:AA80"/>
    <mergeCell ref="L81:N81"/>
    <mergeCell ref="S81:U81"/>
    <mergeCell ref="Z81:AB81"/>
    <mergeCell ref="D75:N75"/>
    <mergeCell ref="O75:U75"/>
    <mergeCell ref="T69:U69"/>
    <mergeCell ref="AA69:AB69"/>
    <mergeCell ref="L70:M70"/>
    <mergeCell ref="S70:T70"/>
    <mergeCell ref="V70:Y70"/>
    <mergeCell ref="Z70:AA70"/>
    <mergeCell ref="L71:N71"/>
    <mergeCell ref="S71:U71"/>
    <mergeCell ref="Z71:AB71"/>
    <mergeCell ref="L72:N72"/>
    <mergeCell ref="S72:U72"/>
    <mergeCell ref="Z72:AB72"/>
    <mergeCell ref="L74:N74"/>
    <mergeCell ref="S74:U74"/>
    <mergeCell ref="Z74:AB74"/>
    <mergeCell ref="D73:G73"/>
    <mergeCell ref="O74:R74"/>
    <mergeCell ref="Z62:AA62"/>
    <mergeCell ref="D63:G63"/>
    <mergeCell ref="L63:N63"/>
    <mergeCell ref="S63:U63"/>
    <mergeCell ref="Z63:AB63"/>
    <mergeCell ref="L64:N64"/>
    <mergeCell ref="O64:R64"/>
    <mergeCell ref="S64:U64"/>
    <mergeCell ref="Z64:AB64"/>
    <mergeCell ref="D62:G62"/>
    <mergeCell ref="O62:R62"/>
    <mergeCell ref="B65:C74"/>
    <mergeCell ref="D65:N65"/>
    <mergeCell ref="O65:U65"/>
    <mergeCell ref="V65:AB65"/>
    <mergeCell ref="D66:G66"/>
    <mergeCell ref="H66:K66"/>
    <mergeCell ref="L66:N66"/>
    <mergeCell ref="O66:R66"/>
    <mergeCell ref="S66:U66"/>
    <mergeCell ref="V66:Y66"/>
    <mergeCell ref="Z66:AB66"/>
    <mergeCell ref="D67:G67"/>
    <mergeCell ref="M67:N67"/>
    <mergeCell ref="O67:R67"/>
    <mergeCell ref="T67:U67"/>
    <mergeCell ref="V67:Y67"/>
    <mergeCell ref="AA67:AB67"/>
    <mergeCell ref="M68:N68"/>
    <mergeCell ref="T68:U68"/>
    <mergeCell ref="AA68:AB68"/>
    <mergeCell ref="M69:N69"/>
    <mergeCell ref="S53:U53"/>
    <mergeCell ref="Z53:AB53"/>
    <mergeCell ref="L56:N56"/>
    <mergeCell ref="S56:U56"/>
    <mergeCell ref="Z56:AB56"/>
    <mergeCell ref="D56:G56"/>
    <mergeCell ref="B57:C64"/>
    <mergeCell ref="D57:N57"/>
    <mergeCell ref="O57:U57"/>
    <mergeCell ref="V57:AB57"/>
    <mergeCell ref="D58:G58"/>
    <mergeCell ref="H58:K58"/>
    <mergeCell ref="L58:N58"/>
    <mergeCell ref="O58:R58"/>
    <mergeCell ref="S58:U58"/>
    <mergeCell ref="V58:Y58"/>
    <mergeCell ref="Z58:AB58"/>
    <mergeCell ref="D59:G59"/>
    <mergeCell ref="M59:N59"/>
    <mergeCell ref="O59:R59"/>
    <mergeCell ref="T59:U59"/>
    <mergeCell ref="V59:Y59"/>
    <mergeCell ref="AA59:AB59"/>
    <mergeCell ref="M60:N60"/>
    <mergeCell ref="T60:U60"/>
    <mergeCell ref="AA60:AB60"/>
    <mergeCell ref="M61:N61"/>
    <mergeCell ref="T61:U61"/>
    <mergeCell ref="AA61:AB61"/>
    <mergeCell ref="L62:M62"/>
    <mergeCell ref="S62:T62"/>
    <mergeCell ref="V62:Y62"/>
    <mergeCell ref="B46:C56"/>
    <mergeCell ref="D46:N46"/>
    <mergeCell ref="O46:U46"/>
    <mergeCell ref="V46:AB46"/>
    <mergeCell ref="D47:G47"/>
    <mergeCell ref="H47:K47"/>
    <mergeCell ref="L47:N47"/>
    <mergeCell ref="O47:R47"/>
    <mergeCell ref="S47:U47"/>
    <mergeCell ref="V47:Y47"/>
    <mergeCell ref="Z47:AB47"/>
    <mergeCell ref="D48:G48"/>
    <mergeCell ref="O48:R48"/>
    <mergeCell ref="V48:Y48"/>
    <mergeCell ref="M50:N50"/>
    <mergeCell ref="T50:U50"/>
    <mergeCell ref="AA50:AB50"/>
    <mergeCell ref="L51:M51"/>
    <mergeCell ref="O51:R51"/>
    <mergeCell ref="S51:T51"/>
    <mergeCell ref="V51:Y51"/>
    <mergeCell ref="Z51:AA51"/>
    <mergeCell ref="M48:N48"/>
    <mergeCell ref="T48:U48"/>
    <mergeCell ref="AA48:AB48"/>
    <mergeCell ref="M49:N49"/>
    <mergeCell ref="T49:U49"/>
    <mergeCell ref="AA49:AB49"/>
    <mergeCell ref="L52:N52"/>
    <mergeCell ref="S52:U52"/>
    <mergeCell ref="Z52:AB52"/>
    <mergeCell ref="L53:N53"/>
    <mergeCell ref="Z43:AA43"/>
    <mergeCell ref="L44:N44"/>
    <mergeCell ref="S44:U44"/>
    <mergeCell ref="Z44:AB44"/>
    <mergeCell ref="L45:N45"/>
    <mergeCell ref="S45:U45"/>
    <mergeCell ref="Z45:AB45"/>
    <mergeCell ref="D44:G44"/>
    <mergeCell ref="O45:R45"/>
    <mergeCell ref="Z37:AB37"/>
    <mergeCell ref="B38:C45"/>
    <mergeCell ref="D38:N38"/>
    <mergeCell ref="O38:U38"/>
    <mergeCell ref="V38:AB38"/>
    <mergeCell ref="D39:G39"/>
    <mergeCell ref="H39:K39"/>
    <mergeCell ref="L39:N39"/>
    <mergeCell ref="O39:R39"/>
    <mergeCell ref="S39:U39"/>
    <mergeCell ref="V39:Y39"/>
    <mergeCell ref="Z39:AB39"/>
    <mergeCell ref="D40:G40"/>
    <mergeCell ref="M40:N40"/>
    <mergeCell ref="O40:R40"/>
    <mergeCell ref="T40:U40"/>
    <mergeCell ref="V40:Y40"/>
    <mergeCell ref="AA40:AB40"/>
    <mergeCell ref="M41:N41"/>
    <mergeCell ref="T41:U41"/>
    <mergeCell ref="AA41:AB41"/>
    <mergeCell ref="M42:N42"/>
    <mergeCell ref="T42:U42"/>
    <mergeCell ref="AA42:AB42"/>
    <mergeCell ref="L43:M43"/>
    <mergeCell ref="S43:T43"/>
    <mergeCell ref="V43:Y43"/>
    <mergeCell ref="Z20:AB20"/>
    <mergeCell ref="V21:Y21"/>
    <mergeCell ref="AA21:AB21"/>
    <mergeCell ref="AA22:AB22"/>
    <mergeCell ref="AA23:AB23"/>
    <mergeCell ref="Z24:AA24"/>
    <mergeCell ref="Z25:AB25"/>
    <mergeCell ref="Z26:AB26"/>
    <mergeCell ref="Z29:AB29"/>
    <mergeCell ref="V24:Y24"/>
    <mergeCell ref="B19:C29"/>
    <mergeCell ref="D19:N19"/>
    <mergeCell ref="O19:U19"/>
    <mergeCell ref="V19:AB19"/>
    <mergeCell ref="O24:R24"/>
    <mergeCell ref="B30:C37"/>
    <mergeCell ref="D30:N30"/>
    <mergeCell ref="O30:U30"/>
    <mergeCell ref="V30:AB30"/>
    <mergeCell ref="D31:G31"/>
    <mergeCell ref="H31:K31"/>
    <mergeCell ref="L31:N31"/>
    <mergeCell ref="O31:R31"/>
    <mergeCell ref="S31:U31"/>
    <mergeCell ref="V31:Y31"/>
    <mergeCell ref="Z31:AB31"/>
    <mergeCell ref="D32:G32"/>
    <mergeCell ref="O32:R32"/>
    <mergeCell ref="AA32:AB32"/>
    <mergeCell ref="M33:N33"/>
    <mergeCell ref="M32:N32"/>
    <mergeCell ref="L36:N36"/>
    <mergeCell ref="L37:N37"/>
    <mergeCell ref="T33:U33"/>
    <mergeCell ref="AA33:AB33"/>
    <mergeCell ref="M34:N34"/>
    <mergeCell ref="T34:U34"/>
    <mergeCell ref="AA34:AB34"/>
    <mergeCell ref="D35:G35"/>
    <mergeCell ref="L35:M35"/>
    <mergeCell ref="O35:R35"/>
    <mergeCell ref="S35:T35"/>
    <mergeCell ref="V35:Y35"/>
    <mergeCell ref="Z35:AA35"/>
    <mergeCell ref="S36:U36"/>
    <mergeCell ref="Z36:AB36"/>
    <mergeCell ref="S37:U37"/>
    <mergeCell ref="B634:C641"/>
    <mergeCell ref="D634:N634"/>
    <mergeCell ref="O634:U634"/>
    <mergeCell ref="V634:AB634"/>
    <mergeCell ref="D635:G635"/>
    <mergeCell ref="H635:K635"/>
    <mergeCell ref="L647:M647"/>
    <mergeCell ref="S647:T647"/>
    <mergeCell ref="V647:Y647"/>
    <mergeCell ref="Z647:AA647"/>
    <mergeCell ref="S655:T655"/>
    <mergeCell ref="V655:Y655"/>
    <mergeCell ref="Z655:AA655"/>
    <mergeCell ref="D633:G633"/>
    <mergeCell ref="L635:N635"/>
    <mergeCell ref="O635:R635"/>
    <mergeCell ref="S635:U635"/>
    <mergeCell ref="V635:Y635"/>
    <mergeCell ref="Z635:AB635"/>
    <mergeCell ref="D636:G636"/>
    <mergeCell ref="M636:N636"/>
    <mergeCell ref="O636:R636"/>
    <mergeCell ref="T636:U636"/>
    <mergeCell ref="V636:Y636"/>
    <mergeCell ref="AA636:AB636"/>
    <mergeCell ref="M637:N637"/>
    <mergeCell ref="T637:U637"/>
    <mergeCell ref="AA637:AB637"/>
    <mergeCell ref="M638:N638"/>
    <mergeCell ref="T638:U638"/>
    <mergeCell ref="AA638:AB638"/>
    <mergeCell ref="D639:G639"/>
    <mergeCell ref="B479:C486"/>
    <mergeCell ref="D479:N479"/>
    <mergeCell ref="O479:U479"/>
    <mergeCell ref="V479:AB479"/>
    <mergeCell ref="D480:G480"/>
    <mergeCell ref="H480:K480"/>
    <mergeCell ref="L480:N480"/>
    <mergeCell ref="O480:R480"/>
    <mergeCell ref="S480:U480"/>
    <mergeCell ref="V480:Y480"/>
    <mergeCell ref="Z480:AB480"/>
    <mergeCell ref="B594:AB594"/>
    <mergeCell ref="L629:M629"/>
    <mergeCell ref="S629:T629"/>
    <mergeCell ref="V629:Y629"/>
    <mergeCell ref="Z629:AA629"/>
    <mergeCell ref="L630:N630"/>
    <mergeCell ref="S630:U630"/>
    <mergeCell ref="Z630:AB630"/>
    <mergeCell ref="L621:M621"/>
    <mergeCell ref="S621:T621"/>
    <mergeCell ref="M481:N481"/>
    <mergeCell ref="T481:U481"/>
    <mergeCell ref="AA481:AB481"/>
    <mergeCell ref="D484:G484"/>
    <mergeCell ref="L484:M484"/>
    <mergeCell ref="S484:T484"/>
    <mergeCell ref="V484:Y484"/>
    <mergeCell ref="Z484:AA484"/>
    <mergeCell ref="L485:N485"/>
    <mergeCell ref="S485:U485"/>
    <mergeCell ref="Z485:AB485"/>
    <mergeCell ref="L293:M293"/>
    <mergeCell ref="S293:T293"/>
    <mergeCell ref="V293:Y293"/>
    <mergeCell ref="Z293:AA293"/>
    <mergeCell ref="L294:N294"/>
    <mergeCell ref="S294:U294"/>
    <mergeCell ref="Z294:AB294"/>
    <mergeCell ref="S295:U295"/>
    <mergeCell ref="O307:R307"/>
    <mergeCell ref="B431:AB431"/>
    <mergeCell ref="B461:C470"/>
    <mergeCell ref="O468:R468"/>
    <mergeCell ref="B471:C478"/>
    <mergeCell ref="D471:N471"/>
    <mergeCell ref="O471:U471"/>
    <mergeCell ref="V471:AB471"/>
    <mergeCell ref="D472:G472"/>
    <mergeCell ref="H472:K472"/>
    <mergeCell ref="B309:C316"/>
    <mergeCell ref="D309:N309"/>
    <mergeCell ref="O309:U309"/>
    <mergeCell ref="V309:AB309"/>
    <mergeCell ref="D310:G310"/>
    <mergeCell ref="H310:K310"/>
    <mergeCell ref="L310:N310"/>
    <mergeCell ref="O310:R310"/>
    <mergeCell ref="S310:U310"/>
    <mergeCell ref="V310:Y310"/>
    <mergeCell ref="Z310:AB310"/>
    <mergeCell ref="D311:G311"/>
    <mergeCell ref="M311:N311"/>
    <mergeCell ref="O311:R311"/>
    <mergeCell ref="L279:N279"/>
    <mergeCell ref="S279:U279"/>
    <mergeCell ref="Z279:AB279"/>
    <mergeCell ref="L280:N280"/>
    <mergeCell ref="M292:N292"/>
    <mergeCell ref="T292:U292"/>
    <mergeCell ref="AA292:AB292"/>
    <mergeCell ref="V20:Y20"/>
    <mergeCell ref="D21:G21"/>
    <mergeCell ref="L29:N29"/>
    <mergeCell ref="M21:N21"/>
    <mergeCell ref="M22:N22"/>
    <mergeCell ref="M23:N23"/>
    <mergeCell ref="D24:G24"/>
    <mergeCell ref="L24:M24"/>
    <mergeCell ref="O21:R21"/>
    <mergeCell ref="O20:R20"/>
    <mergeCell ref="S20:U20"/>
    <mergeCell ref="T22:U22"/>
    <mergeCell ref="T23:U23"/>
    <mergeCell ref="S24:T24"/>
    <mergeCell ref="S29:U29"/>
    <mergeCell ref="L25:N25"/>
    <mergeCell ref="L26:N26"/>
    <mergeCell ref="S25:U25"/>
    <mergeCell ref="S26:U26"/>
    <mergeCell ref="T21:U21"/>
    <mergeCell ref="D20:G20"/>
    <mergeCell ref="L20:N20"/>
    <mergeCell ref="H20:K20"/>
    <mergeCell ref="T32:U32"/>
    <mergeCell ref="V32:Y32"/>
    <mergeCell ref="S15:T15"/>
    <mergeCell ref="S16:T16"/>
    <mergeCell ref="S17:T17"/>
    <mergeCell ref="P16:R16"/>
    <mergeCell ref="P17:R17"/>
    <mergeCell ref="W15:Y15"/>
    <mergeCell ref="W16:Y16"/>
    <mergeCell ref="G6:N6"/>
    <mergeCell ref="O6:U6"/>
    <mergeCell ref="V6:AB6"/>
    <mergeCell ref="B15:C18"/>
    <mergeCell ref="V14:AB14"/>
    <mergeCell ref="O14:U14"/>
    <mergeCell ref="P15:R15"/>
    <mergeCell ref="Z15:AA15"/>
    <mergeCell ref="Z16:AA16"/>
    <mergeCell ref="J15:K15"/>
    <mergeCell ref="J16:K16"/>
    <mergeCell ref="J17:K17"/>
    <mergeCell ref="N2:O2"/>
    <mergeCell ref="P2:Q2"/>
    <mergeCell ref="R2:S2"/>
    <mergeCell ref="T2:U2"/>
    <mergeCell ref="X2:Y2"/>
    <mergeCell ref="Z2:AA2"/>
    <mergeCell ref="N3:O3"/>
    <mergeCell ref="P3:Q3"/>
    <mergeCell ref="R3:S3"/>
    <mergeCell ref="T3:U3"/>
    <mergeCell ref="X3:Y3"/>
    <mergeCell ref="Z3:AA3"/>
    <mergeCell ref="V2:W2"/>
    <mergeCell ref="V3:W3"/>
    <mergeCell ref="B5:AB5"/>
    <mergeCell ref="D14:N14"/>
    <mergeCell ref="B14:C14"/>
    <mergeCell ref="B2:C2"/>
    <mergeCell ref="B3:C3"/>
    <mergeCell ref="D2:E2"/>
    <mergeCell ref="D3:E3"/>
    <mergeCell ref="B133:AB133"/>
    <mergeCell ref="G134:N134"/>
    <mergeCell ref="O134:U134"/>
    <mergeCell ref="V134:AB134"/>
    <mergeCell ref="B142:C142"/>
    <mergeCell ref="D142:N142"/>
    <mergeCell ref="O142:U142"/>
    <mergeCell ref="V142:AB142"/>
    <mergeCell ref="B143:C146"/>
    <mergeCell ref="J143:K143"/>
    <mergeCell ref="P143:R143"/>
    <mergeCell ref="S143:T143"/>
    <mergeCell ref="W143:Y143"/>
    <mergeCell ref="Z143:AA143"/>
    <mergeCell ref="J144:K144"/>
    <mergeCell ref="P144:R144"/>
    <mergeCell ref="S144:T144"/>
    <mergeCell ref="W144:Y144"/>
    <mergeCell ref="Z144:AA144"/>
    <mergeCell ref="J145:K145"/>
    <mergeCell ref="F2:G2"/>
    <mergeCell ref="F3:G3"/>
    <mergeCell ref="H2:I2"/>
    <mergeCell ref="J2:K2"/>
    <mergeCell ref="H3:I3"/>
    <mergeCell ref="J3:K3"/>
    <mergeCell ref="L2:M2"/>
    <mergeCell ref="L3:M3"/>
    <mergeCell ref="P145:R145"/>
    <mergeCell ref="S145:T145"/>
    <mergeCell ref="B147:C157"/>
    <mergeCell ref="D147:N147"/>
    <mergeCell ref="O147:U147"/>
    <mergeCell ref="V147:AB147"/>
    <mergeCell ref="D148:G148"/>
    <mergeCell ref="H148:K148"/>
    <mergeCell ref="L148:N148"/>
    <mergeCell ref="O148:R148"/>
    <mergeCell ref="S148:U148"/>
    <mergeCell ref="V148:Y148"/>
    <mergeCell ref="Z148:AB148"/>
    <mergeCell ref="D149:G149"/>
    <mergeCell ref="M149:N149"/>
    <mergeCell ref="O149:R149"/>
    <mergeCell ref="T149:U149"/>
    <mergeCell ref="V149:Y149"/>
    <mergeCell ref="AA149:AB149"/>
    <mergeCell ref="M150:N150"/>
    <mergeCell ref="T150:U150"/>
    <mergeCell ref="AA150:AB150"/>
    <mergeCell ref="M151:N151"/>
    <mergeCell ref="T151:U151"/>
    <mergeCell ref="AA151:AB151"/>
    <mergeCell ref="D152:G152"/>
    <mergeCell ref="L152:M152"/>
    <mergeCell ref="O152:R152"/>
    <mergeCell ref="S152:T152"/>
    <mergeCell ref="V152:Y152"/>
    <mergeCell ref="Z152:AA152"/>
    <mergeCell ref="L153:N153"/>
    <mergeCell ref="S153:U153"/>
    <mergeCell ref="Z153:AB153"/>
    <mergeCell ref="L154:N154"/>
    <mergeCell ref="S154:U154"/>
    <mergeCell ref="Z154:AB154"/>
    <mergeCell ref="L157:N157"/>
    <mergeCell ref="S157:U157"/>
    <mergeCell ref="Z157:AB157"/>
    <mergeCell ref="B158:C165"/>
    <mergeCell ref="D158:N158"/>
    <mergeCell ref="O158:U158"/>
    <mergeCell ref="V158:AB158"/>
    <mergeCell ref="D159:G159"/>
    <mergeCell ref="H159:K159"/>
    <mergeCell ref="L159:N159"/>
    <mergeCell ref="O159:R159"/>
    <mergeCell ref="S159:U159"/>
    <mergeCell ref="V159:Y159"/>
    <mergeCell ref="Z159:AB159"/>
    <mergeCell ref="D160:G160"/>
    <mergeCell ref="M160:N160"/>
    <mergeCell ref="O160:R160"/>
    <mergeCell ref="T160:U160"/>
    <mergeCell ref="V160:Y160"/>
    <mergeCell ref="AA160:AB160"/>
    <mergeCell ref="M161:N161"/>
    <mergeCell ref="T161:U161"/>
    <mergeCell ref="AA161:AB161"/>
    <mergeCell ref="M162:N162"/>
    <mergeCell ref="T162:U162"/>
    <mergeCell ref="AA162:AB162"/>
    <mergeCell ref="D163:G163"/>
    <mergeCell ref="L163:M163"/>
    <mergeCell ref="S163:T163"/>
    <mergeCell ref="V163:Y163"/>
    <mergeCell ref="Z163:AA163"/>
    <mergeCell ref="L164:N164"/>
    <mergeCell ref="S164:U164"/>
    <mergeCell ref="Z164:AB164"/>
    <mergeCell ref="L165:N165"/>
    <mergeCell ref="S165:U165"/>
    <mergeCell ref="Z165:AB165"/>
    <mergeCell ref="B166:C173"/>
    <mergeCell ref="D166:N166"/>
    <mergeCell ref="O166:U166"/>
    <mergeCell ref="V166:AB166"/>
    <mergeCell ref="D167:G167"/>
    <mergeCell ref="H167:K167"/>
    <mergeCell ref="L167:N167"/>
    <mergeCell ref="O167:R167"/>
    <mergeCell ref="S167:U167"/>
    <mergeCell ref="V167:Y167"/>
    <mergeCell ref="Z167:AB167"/>
    <mergeCell ref="D168:G168"/>
    <mergeCell ref="M168:N168"/>
    <mergeCell ref="O168:R168"/>
    <mergeCell ref="T168:U168"/>
    <mergeCell ref="V168:Y168"/>
    <mergeCell ref="AA168:AB168"/>
    <mergeCell ref="M169:N169"/>
    <mergeCell ref="T169:U169"/>
    <mergeCell ref="AA169:AB169"/>
    <mergeCell ref="M170:N170"/>
    <mergeCell ref="T170:U170"/>
    <mergeCell ref="AA170:AB170"/>
    <mergeCell ref="L171:M171"/>
    <mergeCell ref="S171:T171"/>
    <mergeCell ref="V171:Y171"/>
    <mergeCell ref="Z171:AA171"/>
    <mergeCell ref="D172:G172"/>
    <mergeCell ref="L172:N172"/>
    <mergeCell ref="S172:U172"/>
    <mergeCell ref="Z172:AB172"/>
    <mergeCell ref="L173:N173"/>
    <mergeCell ref="O173:R173"/>
    <mergeCell ref="S173:U173"/>
    <mergeCell ref="Z173:AB173"/>
    <mergeCell ref="B174:C184"/>
    <mergeCell ref="D174:N174"/>
    <mergeCell ref="O174:U174"/>
    <mergeCell ref="V174:AB174"/>
    <mergeCell ref="D175:G175"/>
    <mergeCell ref="H175:K175"/>
    <mergeCell ref="L175:N175"/>
    <mergeCell ref="O175:R175"/>
    <mergeCell ref="S175:U175"/>
    <mergeCell ref="V175:Y175"/>
    <mergeCell ref="Z175:AB175"/>
    <mergeCell ref="D176:G176"/>
    <mergeCell ref="M176:N176"/>
    <mergeCell ref="O176:R176"/>
    <mergeCell ref="T176:U176"/>
    <mergeCell ref="V176:Y176"/>
    <mergeCell ref="AA187:AB187"/>
    <mergeCell ref="M188:N188"/>
    <mergeCell ref="T188:U188"/>
    <mergeCell ref="AA188:AB188"/>
    <mergeCell ref="M189:N189"/>
    <mergeCell ref="T189:U189"/>
    <mergeCell ref="AA189:AB189"/>
    <mergeCell ref="D190:G190"/>
    <mergeCell ref="L190:M190"/>
    <mergeCell ref="O190:R190"/>
    <mergeCell ref="AA176:AB176"/>
    <mergeCell ref="M177:N177"/>
    <mergeCell ref="T177:U177"/>
    <mergeCell ref="AA177:AB177"/>
    <mergeCell ref="M178:N178"/>
    <mergeCell ref="T178:U178"/>
    <mergeCell ref="AA178:AB178"/>
    <mergeCell ref="L179:M179"/>
    <mergeCell ref="S179:T179"/>
    <mergeCell ref="V179:Y179"/>
    <mergeCell ref="Z179:AA179"/>
    <mergeCell ref="L180:N180"/>
    <mergeCell ref="S180:U180"/>
    <mergeCell ref="Z180:AB180"/>
    <mergeCell ref="L181:N181"/>
    <mergeCell ref="S181:U181"/>
    <mergeCell ref="Z181:AB181"/>
    <mergeCell ref="M197:N197"/>
    <mergeCell ref="T197:U197"/>
    <mergeCell ref="AA197:AB197"/>
    <mergeCell ref="L198:M198"/>
    <mergeCell ref="S198:T198"/>
    <mergeCell ref="V198:Y198"/>
    <mergeCell ref="Z198:AA198"/>
    <mergeCell ref="L199:N199"/>
    <mergeCell ref="S199:U199"/>
    <mergeCell ref="Z199:AB199"/>
    <mergeCell ref="L200:N200"/>
    <mergeCell ref="S200:U200"/>
    <mergeCell ref="D184:G184"/>
    <mergeCell ref="L184:N184"/>
    <mergeCell ref="S184:U184"/>
    <mergeCell ref="Z184:AB184"/>
    <mergeCell ref="B185:C192"/>
    <mergeCell ref="D185:N185"/>
    <mergeCell ref="O185:U185"/>
    <mergeCell ref="V185:AB185"/>
    <mergeCell ref="D186:G186"/>
    <mergeCell ref="H186:K186"/>
    <mergeCell ref="L186:N186"/>
    <mergeCell ref="O186:R186"/>
    <mergeCell ref="S186:U186"/>
    <mergeCell ref="V186:Y186"/>
    <mergeCell ref="Z186:AB186"/>
    <mergeCell ref="D187:G187"/>
    <mergeCell ref="M187:N187"/>
    <mergeCell ref="O187:R187"/>
    <mergeCell ref="T187:U187"/>
    <mergeCell ref="V187:Y187"/>
    <mergeCell ref="O193:U193"/>
    <mergeCell ref="V193:AB193"/>
    <mergeCell ref="D194:G194"/>
    <mergeCell ref="H194:K194"/>
    <mergeCell ref="L194:N194"/>
    <mergeCell ref="O194:R194"/>
    <mergeCell ref="S194:U194"/>
    <mergeCell ref="V194:Y194"/>
    <mergeCell ref="Z194:AB194"/>
    <mergeCell ref="D195:G195"/>
    <mergeCell ref="M195:N195"/>
    <mergeCell ref="O195:R195"/>
    <mergeCell ref="T195:U195"/>
    <mergeCell ref="V195:Y195"/>
    <mergeCell ref="AA195:AB195"/>
    <mergeCell ref="M196:N196"/>
    <mergeCell ref="T196:U196"/>
    <mergeCell ref="AA196:AB196"/>
    <mergeCell ref="S190:T190"/>
    <mergeCell ref="V190:Y190"/>
    <mergeCell ref="Z190:AA190"/>
    <mergeCell ref="D191:G191"/>
    <mergeCell ref="L191:N191"/>
    <mergeCell ref="S191:U191"/>
    <mergeCell ref="Z191:AB191"/>
    <mergeCell ref="L192:N192"/>
    <mergeCell ref="O192:R192"/>
    <mergeCell ref="S192:U192"/>
    <mergeCell ref="Z192:AB192"/>
    <mergeCell ref="B202:C214"/>
    <mergeCell ref="D202:N202"/>
    <mergeCell ref="O202:U202"/>
    <mergeCell ref="V202:AB202"/>
    <mergeCell ref="D203:G203"/>
    <mergeCell ref="H203:K203"/>
    <mergeCell ref="L203:N203"/>
    <mergeCell ref="O203:R203"/>
    <mergeCell ref="S203:U203"/>
    <mergeCell ref="V203:Y203"/>
    <mergeCell ref="Z203:AB203"/>
    <mergeCell ref="D204:G204"/>
    <mergeCell ref="M204:N204"/>
    <mergeCell ref="O204:R204"/>
    <mergeCell ref="T204:U204"/>
    <mergeCell ref="V204:Y204"/>
    <mergeCell ref="AA204:AB204"/>
    <mergeCell ref="M205:N205"/>
    <mergeCell ref="T205:U205"/>
    <mergeCell ref="B193:C201"/>
    <mergeCell ref="D193:N193"/>
    <mergeCell ref="AA206:AB206"/>
    <mergeCell ref="D207:G207"/>
    <mergeCell ref="L207:M207"/>
    <mergeCell ref="O207:R207"/>
    <mergeCell ref="S207:T207"/>
    <mergeCell ref="V207:Y207"/>
    <mergeCell ref="Z207:AA207"/>
    <mergeCell ref="L208:N208"/>
    <mergeCell ref="S208:U208"/>
    <mergeCell ref="Z208:AB208"/>
    <mergeCell ref="L209:N209"/>
    <mergeCell ref="S209:U209"/>
    <mergeCell ref="Z209:AB209"/>
    <mergeCell ref="L214:N214"/>
    <mergeCell ref="S214:U214"/>
    <mergeCell ref="Z214:AB214"/>
    <mergeCell ref="Z200:AB200"/>
    <mergeCell ref="D201:G201"/>
    <mergeCell ref="B215:C224"/>
    <mergeCell ref="D215:N215"/>
    <mergeCell ref="O215:U215"/>
    <mergeCell ref="V215:AB215"/>
    <mergeCell ref="D216:G216"/>
    <mergeCell ref="H216:K216"/>
    <mergeCell ref="L216:N216"/>
    <mergeCell ref="O216:R216"/>
    <mergeCell ref="S216:U216"/>
    <mergeCell ref="V216:Y216"/>
    <mergeCell ref="Z216:AB216"/>
    <mergeCell ref="D217:G217"/>
    <mergeCell ref="M217:N217"/>
    <mergeCell ref="O217:R217"/>
    <mergeCell ref="T217:U217"/>
    <mergeCell ref="V217:Y217"/>
    <mergeCell ref="AA217:AB217"/>
    <mergeCell ref="M218:N218"/>
    <mergeCell ref="T218:U218"/>
    <mergeCell ref="AA218:AB218"/>
    <mergeCell ref="M219:N219"/>
    <mergeCell ref="T219:U219"/>
    <mergeCell ref="AA219:AB219"/>
    <mergeCell ref="D220:G220"/>
    <mergeCell ref="L220:M220"/>
    <mergeCell ref="S220:T220"/>
    <mergeCell ref="V220:Y220"/>
    <mergeCell ref="Z220:AA220"/>
    <mergeCell ref="L221:N221"/>
    <mergeCell ref="S221:U221"/>
    <mergeCell ref="Z221:AB221"/>
    <mergeCell ref="L222:N222"/>
    <mergeCell ref="B225:C232"/>
    <mergeCell ref="D225:N225"/>
    <mergeCell ref="O225:U225"/>
    <mergeCell ref="V225:AB225"/>
    <mergeCell ref="D226:G226"/>
    <mergeCell ref="H226:K226"/>
    <mergeCell ref="L226:N226"/>
    <mergeCell ref="O226:R226"/>
    <mergeCell ref="S226:U226"/>
    <mergeCell ref="V226:Y226"/>
    <mergeCell ref="Z226:AB226"/>
    <mergeCell ref="D227:G227"/>
    <mergeCell ref="M227:N227"/>
    <mergeCell ref="O227:R227"/>
    <mergeCell ref="T227:U227"/>
    <mergeCell ref="V227:Y227"/>
    <mergeCell ref="AA227:AB227"/>
    <mergeCell ref="M228:N228"/>
    <mergeCell ref="T228:U228"/>
    <mergeCell ref="AA228:AB228"/>
    <mergeCell ref="M229:N229"/>
    <mergeCell ref="T229:U229"/>
    <mergeCell ref="AA229:AB229"/>
    <mergeCell ref="D230:G230"/>
    <mergeCell ref="L230:M230"/>
    <mergeCell ref="O230:R230"/>
    <mergeCell ref="S230:T230"/>
    <mergeCell ref="V230:Y230"/>
    <mergeCell ref="Z230:AA230"/>
    <mergeCell ref="D231:G231"/>
    <mergeCell ref="B233:C240"/>
    <mergeCell ref="D233:N233"/>
    <mergeCell ref="O233:U233"/>
    <mergeCell ref="V233:AB233"/>
    <mergeCell ref="D234:G234"/>
    <mergeCell ref="H234:K234"/>
    <mergeCell ref="L234:N234"/>
    <mergeCell ref="O234:R234"/>
    <mergeCell ref="S234:U234"/>
    <mergeCell ref="V234:Y234"/>
    <mergeCell ref="Z234:AB234"/>
    <mergeCell ref="D235:G235"/>
    <mergeCell ref="M235:N235"/>
    <mergeCell ref="O235:R235"/>
    <mergeCell ref="T235:U235"/>
    <mergeCell ref="V235:Y235"/>
    <mergeCell ref="AA235:AB235"/>
    <mergeCell ref="M236:N236"/>
    <mergeCell ref="M237:N237"/>
    <mergeCell ref="T237:U237"/>
    <mergeCell ref="AA237:AB237"/>
    <mergeCell ref="D238:G238"/>
    <mergeCell ref="L238:M238"/>
    <mergeCell ref="S238:T238"/>
    <mergeCell ref="V238:Y238"/>
    <mergeCell ref="Z238:AA238"/>
    <mergeCell ref="L239:N239"/>
    <mergeCell ref="S239:U239"/>
    <mergeCell ref="Z239:AB239"/>
    <mergeCell ref="L240:N240"/>
    <mergeCell ref="S240:U240"/>
    <mergeCell ref="Z240:AB240"/>
    <mergeCell ref="B241:C248"/>
    <mergeCell ref="D241:N241"/>
    <mergeCell ref="O241:U241"/>
    <mergeCell ref="V241:AB241"/>
    <mergeCell ref="D242:G242"/>
    <mergeCell ref="H242:K242"/>
    <mergeCell ref="L242:N242"/>
    <mergeCell ref="O242:R242"/>
    <mergeCell ref="S242:U242"/>
    <mergeCell ref="V242:Y242"/>
    <mergeCell ref="Z242:AB242"/>
    <mergeCell ref="D243:G243"/>
    <mergeCell ref="M243:N243"/>
    <mergeCell ref="O243:R243"/>
    <mergeCell ref="T243:U243"/>
    <mergeCell ref="V243:Y243"/>
    <mergeCell ref="AA243:AB243"/>
    <mergeCell ref="M244:N244"/>
    <mergeCell ref="T244:U244"/>
    <mergeCell ref="AA244:AB244"/>
    <mergeCell ref="M245:N245"/>
    <mergeCell ref="T245:U245"/>
    <mergeCell ref="AA245:AB245"/>
    <mergeCell ref="D246:G246"/>
    <mergeCell ref="L246:M246"/>
    <mergeCell ref="B249:C257"/>
    <mergeCell ref="D249:N249"/>
    <mergeCell ref="O249:U249"/>
    <mergeCell ref="V249:AB249"/>
    <mergeCell ref="D250:G250"/>
    <mergeCell ref="H250:K250"/>
    <mergeCell ref="L250:N250"/>
    <mergeCell ref="O250:R250"/>
    <mergeCell ref="S250:U250"/>
    <mergeCell ref="V250:Y250"/>
    <mergeCell ref="Z250:AB250"/>
    <mergeCell ref="D251:G251"/>
    <mergeCell ref="M251:N251"/>
    <mergeCell ref="O251:R251"/>
    <mergeCell ref="T251:U251"/>
    <mergeCell ref="V251:Y251"/>
    <mergeCell ref="AA251:AB251"/>
    <mergeCell ref="M252:N252"/>
    <mergeCell ref="T252:U252"/>
    <mergeCell ref="AA252:AB252"/>
    <mergeCell ref="M253:N253"/>
    <mergeCell ref="T253:U253"/>
    <mergeCell ref="V253:Y253"/>
    <mergeCell ref="AA253:AB253"/>
    <mergeCell ref="D254:G254"/>
    <mergeCell ref="L254:M254"/>
    <mergeCell ref="O254:R254"/>
    <mergeCell ref="S254:T254"/>
    <mergeCell ref="V254:Y254"/>
    <mergeCell ref="Z254:AA254"/>
    <mergeCell ref="L255:N255"/>
    <mergeCell ref="S255:U255"/>
    <mergeCell ref="O165:R165"/>
    <mergeCell ref="O171:R171"/>
    <mergeCell ref="O183:R183"/>
    <mergeCell ref="O198:R198"/>
    <mergeCell ref="O224:R224"/>
    <mergeCell ref="O238:R238"/>
    <mergeCell ref="Z246:AA246"/>
    <mergeCell ref="D247:G247"/>
    <mergeCell ref="L247:N247"/>
    <mergeCell ref="S247:U247"/>
    <mergeCell ref="Z247:AB247"/>
    <mergeCell ref="L248:N248"/>
    <mergeCell ref="O248:R248"/>
    <mergeCell ref="S248:U248"/>
    <mergeCell ref="Z248:AB248"/>
    <mergeCell ref="T236:U236"/>
    <mergeCell ref="AA236:AB236"/>
    <mergeCell ref="O246:R246"/>
    <mergeCell ref="S246:T246"/>
    <mergeCell ref="V246:Y246"/>
    <mergeCell ref="L231:N231"/>
    <mergeCell ref="S231:U231"/>
    <mergeCell ref="Z231:AB231"/>
    <mergeCell ref="L232:N232"/>
    <mergeCell ref="O232:R232"/>
    <mergeCell ref="S232:U232"/>
    <mergeCell ref="Z232:AB232"/>
    <mergeCell ref="S222:U222"/>
    <mergeCell ref="Z222:AB222"/>
    <mergeCell ref="AA205:AB205"/>
    <mergeCell ref="M206:N206"/>
    <mergeCell ref="T206:U206"/>
    <mergeCell ref="Z278:AA278"/>
    <mergeCell ref="J269:K269"/>
    <mergeCell ref="P269:R269"/>
    <mergeCell ref="S269:T269"/>
    <mergeCell ref="W269:Y269"/>
    <mergeCell ref="Z269:AA269"/>
    <mergeCell ref="J270:K270"/>
    <mergeCell ref="P270:R270"/>
    <mergeCell ref="S270:T270"/>
    <mergeCell ref="W270:Y270"/>
    <mergeCell ref="Z270:AA270"/>
    <mergeCell ref="J271:K271"/>
    <mergeCell ref="P271:R271"/>
    <mergeCell ref="S271:T271"/>
    <mergeCell ref="V255:Y255"/>
    <mergeCell ref="Z255:AB255"/>
    <mergeCell ref="L256:N256"/>
    <mergeCell ref="O256:R256"/>
    <mergeCell ref="S256:U256"/>
    <mergeCell ref="Z256:AB256"/>
    <mergeCell ref="B259:AB259"/>
    <mergeCell ref="G260:N260"/>
    <mergeCell ref="O260:U260"/>
    <mergeCell ref="V260:AB260"/>
    <mergeCell ref="B268:C268"/>
    <mergeCell ref="D268:N268"/>
    <mergeCell ref="O268:U268"/>
    <mergeCell ref="V268:AB268"/>
    <mergeCell ref="B269:C272"/>
    <mergeCell ref="S280:U280"/>
    <mergeCell ref="Z280:AB280"/>
    <mergeCell ref="L287:N287"/>
    <mergeCell ref="S287:U287"/>
    <mergeCell ref="Z287:AB287"/>
    <mergeCell ref="B273:C287"/>
    <mergeCell ref="D273:N273"/>
    <mergeCell ref="O273:U273"/>
    <mergeCell ref="V273:AB273"/>
    <mergeCell ref="D274:G274"/>
    <mergeCell ref="H274:K274"/>
    <mergeCell ref="L274:N274"/>
    <mergeCell ref="O274:R274"/>
    <mergeCell ref="S274:U274"/>
    <mergeCell ref="V274:Y274"/>
    <mergeCell ref="Z274:AB274"/>
    <mergeCell ref="D275:G275"/>
    <mergeCell ref="M275:N275"/>
    <mergeCell ref="O275:R275"/>
    <mergeCell ref="T275:U275"/>
    <mergeCell ref="V275:Y275"/>
    <mergeCell ref="AA275:AB275"/>
    <mergeCell ref="M276:N276"/>
    <mergeCell ref="T276:U276"/>
    <mergeCell ref="AA276:AB276"/>
    <mergeCell ref="M277:N277"/>
    <mergeCell ref="T277:U277"/>
    <mergeCell ref="AA277:AB277"/>
    <mergeCell ref="D278:G278"/>
    <mergeCell ref="L278:M278"/>
    <mergeCell ref="S278:T278"/>
    <mergeCell ref="V278:Y278"/>
    <mergeCell ref="T311:U311"/>
    <mergeCell ref="V311:Y311"/>
    <mergeCell ref="AA311:AB311"/>
    <mergeCell ref="M312:N312"/>
    <mergeCell ref="T312:U312"/>
    <mergeCell ref="AA312:AB312"/>
    <mergeCell ref="M313:N313"/>
    <mergeCell ref="T313:U313"/>
    <mergeCell ref="AA313:AB313"/>
    <mergeCell ref="D314:G314"/>
    <mergeCell ref="L314:M314"/>
    <mergeCell ref="S314:T314"/>
    <mergeCell ref="V314:Y314"/>
    <mergeCell ref="Z314:AA314"/>
    <mergeCell ref="D315:G315"/>
    <mergeCell ref="L315:N315"/>
    <mergeCell ref="S315:U315"/>
    <mergeCell ref="Z315:AB315"/>
    <mergeCell ref="L316:N316"/>
    <mergeCell ref="O316:R316"/>
    <mergeCell ref="S316:U316"/>
    <mergeCell ref="Z316:AB316"/>
    <mergeCell ref="L446:N446"/>
    <mergeCell ref="S446:U446"/>
    <mergeCell ref="Z446:AB446"/>
    <mergeCell ref="AA463:AB463"/>
    <mergeCell ref="M464:N464"/>
    <mergeCell ref="T464:U464"/>
    <mergeCell ref="AA464:AB464"/>
    <mergeCell ref="M465:N465"/>
    <mergeCell ref="T465:U465"/>
    <mergeCell ref="AA465:AB465"/>
    <mergeCell ref="L466:M466"/>
    <mergeCell ref="D458:G458"/>
    <mergeCell ref="D454:G454"/>
    <mergeCell ref="O454:R454"/>
    <mergeCell ref="V454:Y454"/>
    <mergeCell ref="M455:N455"/>
    <mergeCell ref="T455:U455"/>
    <mergeCell ref="AA455:AB455"/>
    <mergeCell ref="M456:N456"/>
    <mergeCell ref="T456:U456"/>
    <mergeCell ref="AA456:AB456"/>
    <mergeCell ref="M321:N321"/>
    <mergeCell ref="T321:U321"/>
    <mergeCell ref="AA321:AB321"/>
    <mergeCell ref="D322:G322"/>
    <mergeCell ref="L322:M322"/>
    <mergeCell ref="S322:T322"/>
    <mergeCell ref="V322:Y322"/>
    <mergeCell ref="S467:U467"/>
    <mergeCell ref="Z467:AB467"/>
    <mergeCell ref="L468:N468"/>
    <mergeCell ref="S468:U468"/>
    <mergeCell ref="Z468:AB468"/>
    <mergeCell ref="D473:G473"/>
    <mergeCell ref="O473:R473"/>
    <mergeCell ref="V473:Y473"/>
    <mergeCell ref="M474:N474"/>
    <mergeCell ref="T474:U474"/>
    <mergeCell ref="AA474:AB474"/>
    <mergeCell ref="M475:N475"/>
    <mergeCell ref="T475:U475"/>
    <mergeCell ref="AA475:AB475"/>
    <mergeCell ref="L459:N459"/>
    <mergeCell ref="S459:U459"/>
    <mergeCell ref="Z459:AB459"/>
    <mergeCell ref="D461:N461"/>
    <mergeCell ref="O461:U461"/>
    <mergeCell ref="V461:AB461"/>
    <mergeCell ref="D462:G462"/>
    <mergeCell ref="H462:K462"/>
    <mergeCell ref="L462:N462"/>
    <mergeCell ref="O462:R462"/>
    <mergeCell ref="S462:U462"/>
    <mergeCell ref="V462:Y462"/>
    <mergeCell ref="Z462:AB462"/>
    <mergeCell ref="D463:G463"/>
    <mergeCell ref="M463:N463"/>
    <mergeCell ref="O463:R463"/>
    <mergeCell ref="T463:U463"/>
    <mergeCell ref="V463:Y463"/>
    <mergeCell ref="Z322:AA322"/>
    <mergeCell ref="D323:G323"/>
    <mergeCell ref="L323:N323"/>
    <mergeCell ref="S323:U323"/>
    <mergeCell ref="M483:N483"/>
    <mergeCell ref="T483:U483"/>
    <mergeCell ref="AA483:AB483"/>
    <mergeCell ref="D485:G485"/>
    <mergeCell ref="L486:N486"/>
    <mergeCell ref="S486:U486"/>
    <mergeCell ref="Z486:AB486"/>
    <mergeCell ref="D477:G477"/>
    <mergeCell ref="L478:N478"/>
    <mergeCell ref="S478:U478"/>
    <mergeCell ref="Z478:AB478"/>
    <mergeCell ref="D481:G481"/>
    <mergeCell ref="O481:R481"/>
    <mergeCell ref="V481:Y481"/>
    <mergeCell ref="M482:N482"/>
    <mergeCell ref="T482:U482"/>
    <mergeCell ref="AA482:AB482"/>
    <mergeCell ref="S466:T466"/>
    <mergeCell ref="V466:Y466"/>
    <mergeCell ref="Z466:AA466"/>
    <mergeCell ref="L467:N467"/>
    <mergeCell ref="L324:N324"/>
    <mergeCell ref="O324:R324"/>
    <mergeCell ref="S324:U324"/>
    <mergeCell ref="Z324:AB324"/>
    <mergeCell ref="M329:N329"/>
    <mergeCell ref="T329:U329"/>
    <mergeCell ref="AA329:AB329"/>
    <mergeCell ref="O317:U317"/>
    <mergeCell ref="V317:AB317"/>
    <mergeCell ref="D318:G318"/>
    <mergeCell ref="H318:K318"/>
    <mergeCell ref="L318:N318"/>
    <mergeCell ref="O318:R318"/>
    <mergeCell ref="S318:U318"/>
    <mergeCell ref="V318:Y318"/>
    <mergeCell ref="Z318:AB318"/>
    <mergeCell ref="D319:G319"/>
    <mergeCell ref="M319:N319"/>
    <mergeCell ref="O319:R319"/>
    <mergeCell ref="T319:U319"/>
    <mergeCell ref="V319:Y319"/>
    <mergeCell ref="AA319:AB319"/>
    <mergeCell ref="M320:N320"/>
    <mergeCell ref="T320:U320"/>
    <mergeCell ref="AA320:AB320"/>
    <mergeCell ref="B421:C429"/>
    <mergeCell ref="D421:N421"/>
    <mergeCell ref="O421:U421"/>
    <mergeCell ref="V421:AB421"/>
    <mergeCell ref="D422:G422"/>
    <mergeCell ref="H422:K422"/>
    <mergeCell ref="L422:N422"/>
    <mergeCell ref="O422:R422"/>
    <mergeCell ref="S422:U422"/>
    <mergeCell ref="V422:Y422"/>
    <mergeCell ref="Z422:AB422"/>
    <mergeCell ref="D423:G423"/>
    <mergeCell ref="M423:N423"/>
    <mergeCell ref="O423:R423"/>
    <mergeCell ref="T423:U423"/>
    <mergeCell ref="V423:Y423"/>
    <mergeCell ref="AA423:AB423"/>
    <mergeCell ref="M424:N424"/>
    <mergeCell ref="T424:U424"/>
    <mergeCell ref="AA424:AB424"/>
    <mergeCell ref="M425:N425"/>
    <mergeCell ref="T425:U425"/>
    <mergeCell ref="AA425:AB425"/>
    <mergeCell ref="D426:G426"/>
    <mergeCell ref="L426:M426"/>
    <mergeCell ref="O426:R426"/>
    <mergeCell ref="B317:C324"/>
    <mergeCell ref="D317:N317"/>
    <mergeCell ref="S426:T426"/>
    <mergeCell ref="Z426:AA426"/>
    <mergeCell ref="L427:N427"/>
    <mergeCell ref="S427:U427"/>
    <mergeCell ref="V427:Y427"/>
    <mergeCell ref="Z427:AB427"/>
    <mergeCell ref="L428:N428"/>
    <mergeCell ref="O428:R428"/>
    <mergeCell ref="S428:U428"/>
    <mergeCell ref="Z428:AB428"/>
    <mergeCell ref="O280:R280"/>
    <mergeCell ref="B288:C299"/>
    <mergeCell ref="D288:N288"/>
    <mergeCell ref="O288:U288"/>
    <mergeCell ref="V288:AB288"/>
    <mergeCell ref="D289:G289"/>
    <mergeCell ref="H289:K289"/>
    <mergeCell ref="L289:N289"/>
    <mergeCell ref="O289:R289"/>
    <mergeCell ref="S289:U289"/>
    <mergeCell ref="V289:Y289"/>
    <mergeCell ref="Z289:AB289"/>
    <mergeCell ref="D290:G290"/>
    <mergeCell ref="M290:N290"/>
    <mergeCell ref="O290:R290"/>
    <mergeCell ref="T290:U290"/>
    <mergeCell ref="V290:Y290"/>
    <mergeCell ref="AA290:AB290"/>
    <mergeCell ref="M291:N291"/>
    <mergeCell ref="T291:U291"/>
    <mergeCell ref="AA291:AB291"/>
    <mergeCell ref="Z323:AB323"/>
    <mergeCell ref="L295:N295"/>
    <mergeCell ref="Z295:AB295"/>
    <mergeCell ref="O295:R295"/>
    <mergeCell ref="B300:C308"/>
    <mergeCell ref="D300:N300"/>
    <mergeCell ref="O300:U300"/>
    <mergeCell ref="V300:AB300"/>
    <mergeCell ref="D301:G301"/>
    <mergeCell ref="H301:K301"/>
    <mergeCell ref="L301:N301"/>
    <mergeCell ref="O301:R301"/>
    <mergeCell ref="S301:U301"/>
    <mergeCell ref="V301:Y301"/>
    <mergeCell ref="Z301:AB301"/>
    <mergeCell ref="D302:G302"/>
    <mergeCell ref="M302:N302"/>
    <mergeCell ref="O302:R302"/>
    <mergeCell ref="T302:U302"/>
    <mergeCell ref="V302:Y302"/>
    <mergeCell ref="AA302:AB302"/>
    <mergeCell ref="M303:N303"/>
    <mergeCell ref="T303:U303"/>
    <mergeCell ref="AA303:AB303"/>
    <mergeCell ref="M304:N304"/>
    <mergeCell ref="T304:U304"/>
    <mergeCell ref="AA304:AB304"/>
    <mergeCell ref="L305:M305"/>
    <mergeCell ref="S305:T305"/>
    <mergeCell ref="V305:Y305"/>
    <mergeCell ref="Z305:AA305"/>
    <mergeCell ref="L306:N306"/>
    <mergeCell ref="S306:U306"/>
    <mergeCell ref="Z306:AB306"/>
    <mergeCell ref="L307:N307"/>
    <mergeCell ref="S307:U307"/>
    <mergeCell ref="Z307:AB307"/>
    <mergeCell ref="D305:G305"/>
    <mergeCell ref="O298:R298"/>
    <mergeCell ref="D299:G299"/>
    <mergeCell ref="L299:N299"/>
    <mergeCell ref="S299:U299"/>
    <mergeCell ref="Z299:AB299"/>
    <mergeCell ref="B325:C334"/>
    <mergeCell ref="D325:N325"/>
    <mergeCell ref="O325:U325"/>
    <mergeCell ref="V325:AB325"/>
    <mergeCell ref="D326:G326"/>
    <mergeCell ref="H326:K326"/>
    <mergeCell ref="L326:N326"/>
    <mergeCell ref="O326:R326"/>
    <mergeCell ref="S326:U326"/>
    <mergeCell ref="V326:Y326"/>
    <mergeCell ref="Z326:AB326"/>
    <mergeCell ref="D327:G327"/>
    <mergeCell ref="M327:N327"/>
    <mergeCell ref="O327:R327"/>
    <mergeCell ref="T327:U327"/>
    <mergeCell ref="V327:Y327"/>
    <mergeCell ref="AA327:AB327"/>
    <mergeCell ref="M328:N328"/>
    <mergeCell ref="T328:U328"/>
    <mergeCell ref="AA328:AB328"/>
    <mergeCell ref="L330:M330"/>
    <mergeCell ref="S330:T330"/>
    <mergeCell ref="V330:Y330"/>
    <mergeCell ref="Z330:AA330"/>
    <mergeCell ref="L331:N331"/>
    <mergeCell ref="S331:U331"/>
    <mergeCell ref="Z331:AB331"/>
    <mergeCell ref="B335:C343"/>
    <mergeCell ref="D335:N335"/>
    <mergeCell ref="O335:U335"/>
    <mergeCell ref="V335:AB335"/>
    <mergeCell ref="D336:G336"/>
    <mergeCell ref="H336:K336"/>
    <mergeCell ref="L336:N336"/>
    <mergeCell ref="O336:R336"/>
    <mergeCell ref="S336:U336"/>
    <mergeCell ref="V336:Y336"/>
    <mergeCell ref="Z336:AB336"/>
    <mergeCell ref="D337:G337"/>
    <mergeCell ref="M337:N337"/>
    <mergeCell ref="O337:R337"/>
    <mergeCell ref="T337:U337"/>
    <mergeCell ref="V337:Y337"/>
    <mergeCell ref="AA337:AB337"/>
    <mergeCell ref="M338:N338"/>
    <mergeCell ref="T338:U338"/>
    <mergeCell ref="AA338:AB338"/>
    <mergeCell ref="M339:N339"/>
    <mergeCell ref="T339:U339"/>
    <mergeCell ref="AA339:AB339"/>
    <mergeCell ref="D340:G340"/>
    <mergeCell ref="L340:M340"/>
    <mergeCell ref="S340:T340"/>
    <mergeCell ref="V340:Y340"/>
    <mergeCell ref="Z340:AA340"/>
    <mergeCell ref="L341:N341"/>
    <mergeCell ref="S341:U341"/>
    <mergeCell ref="Z341:AB341"/>
    <mergeCell ref="L342:N342"/>
    <mergeCell ref="O342:R342"/>
    <mergeCell ref="S342:U342"/>
    <mergeCell ref="Z342:AB342"/>
    <mergeCell ref="D331:G331"/>
    <mergeCell ref="L332:N332"/>
    <mergeCell ref="S332:U332"/>
    <mergeCell ref="Z332:AB332"/>
    <mergeCell ref="O334:R334"/>
    <mergeCell ref="D346:G346"/>
    <mergeCell ref="M346:N346"/>
    <mergeCell ref="O346:R346"/>
    <mergeCell ref="T346:U346"/>
    <mergeCell ref="V346:Y346"/>
    <mergeCell ref="AA346:AB346"/>
    <mergeCell ref="M347:N347"/>
    <mergeCell ref="T347:U347"/>
    <mergeCell ref="AA347:AB347"/>
    <mergeCell ref="M348:N348"/>
    <mergeCell ref="T348:U348"/>
    <mergeCell ref="AA348:AB348"/>
    <mergeCell ref="L349:M349"/>
    <mergeCell ref="S349:T349"/>
    <mergeCell ref="V349:Y349"/>
    <mergeCell ref="Z349:AA349"/>
    <mergeCell ref="B344:C358"/>
    <mergeCell ref="D344:N344"/>
    <mergeCell ref="O344:U344"/>
    <mergeCell ref="V344:AB344"/>
    <mergeCell ref="D345:G345"/>
    <mergeCell ref="H345:K345"/>
    <mergeCell ref="L345:N345"/>
    <mergeCell ref="O345:R345"/>
    <mergeCell ref="S345:U345"/>
    <mergeCell ref="V345:Y345"/>
    <mergeCell ref="Z345:AB345"/>
    <mergeCell ref="L350:N350"/>
    <mergeCell ref="S350:U350"/>
    <mergeCell ref="Z350:AB350"/>
    <mergeCell ref="L351:N351"/>
    <mergeCell ref="S351:U351"/>
    <mergeCell ref="Z351:AB351"/>
    <mergeCell ref="L358:N358"/>
    <mergeCell ref="S358:U358"/>
    <mergeCell ref="Z358:AB358"/>
    <mergeCell ref="O353:R353"/>
    <mergeCell ref="E348:F348"/>
    <mergeCell ref="D350:G350"/>
    <mergeCell ref="B359:C366"/>
    <mergeCell ref="D359:N359"/>
    <mergeCell ref="O359:U359"/>
    <mergeCell ref="V359:AB359"/>
    <mergeCell ref="D360:G360"/>
    <mergeCell ref="H360:K360"/>
    <mergeCell ref="L360:N360"/>
    <mergeCell ref="O360:R360"/>
    <mergeCell ref="S360:U360"/>
    <mergeCell ref="V360:Y360"/>
    <mergeCell ref="Z360:AB360"/>
    <mergeCell ref="D361:G361"/>
    <mergeCell ref="M361:N361"/>
    <mergeCell ref="O361:R361"/>
    <mergeCell ref="T361:U361"/>
    <mergeCell ref="V361:Y361"/>
    <mergeCell ref="AA361:AB361"/>
    <mergeCell ref="M362:N362"/>
    <mergeCell ref="T362:U362"/>
    <mergeCell ref="AA362:AB362"/>
    <mergeCell ref="M363:N363"/>
    <mergeCell ref="T363:U363"/>
    <mergeCell ref="AA363:AB363"/>
    <mergeCell ref="L364:M364"/>
    <mergeCell ref="S364:T364"/>
    <mergeCell ref="V364:Y364"/>
    <mergeCell ref="Z364:AA364"/>
    <mergeCell ref="D365:G365"/>
    <mergeCell ref="L365:N365"/>
    <mergeCell ref="S365:U365"/>
    <mergeCell ref="Z365:AB365"/>
    <mergeCell ref="L366:N366"/>
    <mergeCell ref="O366:R366"/>
    <mergeCell ref="S366:U366"/>
    <mergeCell ref="Z366:AB366"/>
    <mergeCell ref="B367:C374"/>
    <mergeCell ref="D367:N367"/>
    <mergeCell ref="O367:U367"/>
    <mergeCell ref="V367:AB367"/>
    <mergeCell ref="D368:G368"/>
    <mergeCell ref="H368:K368"/>
    <mergeCell ref="L368:N368"/>
    <mergeCell ref="O368:R368"/>
    <mergeCell ref="S368:U368"/>
    <mergeCell ref="V368:Y368"/>
    <mergeCell ref="Z368:AB368"/>
    <mergeCell ref="D369:G369"/>
    <mergeCell ref="M369:N369"/>
    <mergeCell ref="O369:R369"/>
    <mergeCell ref="T369:U369"/>
    <mergeCell ref="V369:Y369"/>
    <mergeCell ref="AA369:AB369"/>
    <mergeCell ref="M370:N370"/>
    <mergeCell ref="T370:U370"/>
    <mergeCell ref="AA370:AB370"/>
    <mergeCell ref="M371:N371"/>
    <mergeCell ref="T371:U371"/>
    <mergeCell ref="AA371:AB371"/>
    <mergeCell ref="L372:M372"/>
    <mergeCell ref="S372:T372"/>
    <mergeCell ref="V372:Y372"/>
    <mergeCell ref="Z372:AA372"/>
    <mergeCell ref="D373:G373"/>
    <mergeCell ref="L373:N373"/>
    <mergeCell ref="S373:U373"/>
    <mergeCell ref="Z373:AB373"/>
    <mergeCell ref="L374:N374"/>
    <mergeCell ref="O374:R374"/>
    <mergeCell ref="S374:U374"/>
    <mergeCell ref="Z374:AB374"/>
    <mergeCell ref="D372:G372"/>
    <mergeCell ref="B375:C382"/>
    <mergeCell ref="D375:N375"/>
    <mergeCell ref="O375:U375"/>
    <mergeCell ref="V375:AB375"/>
    <mergeCell ref="D376:G376"/>
    <mergeCell ref="H376:K376"/>
    <mergeCell ref="L376:N376"/>
    <mergeCell ref="O376:R376"/>
    <mergeCell ref="S376:U376"/>
    <mergeCell ref="V376:Y376"/>
    <mergeCell ref="Z376:AB376"/>
    <mergeCell ref="D377:G377"/>
    <mergeCell ref="M377:N377"/>
    <mergeCell ref="O377:R377"/>
    <mergeCell ref="T377:U377"/>
    <mergeCell ref="V377:Y377"/>
    <mergeCell ref="M387:N387"/>
    <mergeCell ref="T387:U387"/>
    <mergeCell ref="AA387:AB387"/>
    <mergeCell ref="L388:M388"/>
    <mergeCell ref="S388:T388"/>
    <mergeCell ref="V388:Y388"/>
    <mergeCell ref="Z388:AA388"/>
    <mergeCell ref="L389:N389"/>
    <mergeCell ref="S389:U389"/>
    <mergeCell ref="Z389:AB389"/>
    <mergeCell ref="D390:G390"/>
    <mergeCell ref="L390:N390"/>
    <mergeCell ref="AA377:AB377"/>
    <mergeCell ref="M378:N378"/>
    <mergeCell ref="T378:U378"/>
    <mergeCell ref="AA378:AB378"/>
    <mergeCell ref="M379:N379"/>
    <mergeCell ref="T379:U379"/>
    <mergeCell ref="AA379:AB379"/>
    <mergeCell ref="L380:M380"/>
    <mergeCell ref="S380:T380"/>
    <mergeCell ref="V380:Y380"/>
    <mergeCell ref="Z380:AA380"/>
    <mergeCell ref="L381:N381"/>
    <mergeCell ref="S381:U381"/>
    <mergeCell ref="Z381:AB381"/>
    <mergeCell ref="L382:N382"/>
    <mergeCell ref="O382:R382"/>
    <mergeCell ref="S382:U382"/>
    <mergeCell ref="Z382:AB382"/>
    <mergeCell ref="D382:G382"/>
    <mergeCell ref="D383:N383"/>
    <mergeCell ref="V383:AB383"/>
    <mergeCell ref="D384:G384"/>
    <mergeCell ref="H384:K384"/>
    <mergeCell ref="L384:N384"/>
    <mergeCell ref="O384:R384"/>
    <mergeCell ref="S384:U384"/>
    <mergeCell ref="V384:Y384"/>
    <mergeCell ref="Z384:AB384"/>
    <mergeCell ref="D385:G385"/>
    <mergeCell ref="M385:N385"/>
    <mergeCell ref="O385:R385"/>
    <mergeCell ref="T385:U385"/>
    <mergeCell ref="V385:Y385"/>
    <mergeCell ref="AA385:AB385"/>
    <mergeCell ref="M386:N386"/>
    <mergeCell ref="T386:U386"/>
    <mergeCell ref="AA386:AB386"/>
    <mergeCell ref="O390:R390"/>
    <mergeCell ref="S390:U390"/>
    <mergeCell ref="Z390:AB390"/>
    <mergeCell ref="D388:G388"/>
    <mergeCell ref="O388:R388"/>
    <mergeCell ref="B391:C403"/>
    <mergeCell ref="D391:N391"/>
    <mergeCell ref="O391:U391"/>
    <mergeCell ref="V391:AB391"/>
    <mergeCell ref="D392:G392"/>
    <mergeCell ref="H392:K392"/>
    <mergeCell ref="L392:N392"/>
    <mergeCell ref="O392:R392"/>
    <mergeCell ref="S392:U392"/>
    <mergeCell ref="V392:Y392"/>
    <mergeCell ref="Z392:AB392"/>
    <mergeCell ref="D393:G393"/>
    <mergeCell ref="M393:N393"/>
    <mergeCell ref="O393:R393"/>
    <mergeCell ref="T393:U393"/>
    <mergeCell ref="V393:Y393"/>
    <mergeCell ref="AA393:AB393"/>
    <mergeCell ref="M394:N394"/>
    <mergeCell ref="T394:U394"/>
    <mergeCell ref="AA394:AB394"/>
    <mergeCell ref="M395:N395"/>
    <mergeCell ref="T395:U395"/>
    <mergeCell ref="AA395:AB395"/>
    <mergeCell ref="L396:M396"/>
    <mergeCell ref="S396:T396"/>
    <mergeCell ref="B383:C390"/>
    <mergeCell ref="O383:U383"/>
    <mergeCell ref="V396:Y396"/>
    <mergeCell ref="Z396:AA396"/>
    <mergeCell ref="D397:G397"/>
    <mergeCell ref="L397:N397"/>
    <mergeCell ref="S397:U397"/>
    <mergeCell ref="Z397:AB397"/>
    <mergeCell ref="L398:N398"/>
    <mergeCell ref="S398:U398"/>
    <mergeCell ref="Z398:AB398"/>
    <mergeCell ref="O400:R400"/>
    <mergeCell ref="L403:N403"/>
    <mergeCell ref="S403:U403"/>
    <mergeCell ref="Z403:AB403"/>
    <mergeCell ref="D396:G396"/>
    <mergeCell ref="O398:R398"/>
    <mergeCell ref="B404:C412"/>
    <mergeCell ref="D404:N404"/>
    <mergeCell ref="O404:U404"/>
    <mergeCell ref="V404:AB404"/>
    <mergeCell ref="D405:G405"/>
    <mergeCell ref="H405:K405"/>
    <mergeCell ref="L405:N405"/>
    <mergeCell ref="O405:R405"/>
    <mergeCell ref="S405:U405"/>
    <mergeCell ref="V405:Y405"/>
    <mergeCell ref="Z405:AB405"/>
    <mergeCell ref="D406:G406"/>
    <mergeCell ref="M406:N406"/>
    <mergeCell ref="O406:R406"/>
    <mergeCell ref="T406:U406"/>
    <mergeCell ref="V406:Y406"/>
    <mergeCell ref="AA406:AB406"/>
    <mergeCell ref="D419:G419"/>
    <mergeCell ref="L419:N419"/>
    <mergeCell ref="S419:U419"/>
    <mergeCell ref="Z419:AB419"/>
    <mergeCell ref="L420:N420"/>
    <mergeCell ref="M407:N407"/>
    <mergeCell ref="T407:U407"/>
    <mergeCell ref="AA407:AB407"/>
    <mergeCell ref="M408:N408"/>
    <mergeCell ref="T408:U408"/>
    <mergeCell ref="AA408:AB408"/>
    <mergeCell ref="L409:M409"/>
    <mergeCell ref="S409:T409"/>
    <mergeCell ref="V409:Y409"/>
    <mergeCell ref="Z409:AA409"/>
    <mergeCell ref="L410:N410"/>
    <mergeCell ref="S410:U410"/>
    <mergeCell ref="Z410:AB410"/>
    <mergeCell ref="L411:N411"/>
    <mergeCell ref="O411:R411"/>
    <mergeCell ref="S411:U411"/>
    <mergeCell ref="Z411:AB411"/>
    <mergeCell ref="D410:G410"/>
    <mergeCell ref="V414:Y414"/>
    <mergeCell ref="Z414:AB414"/>
    <mergeCell ref="D415:G415"/>
    <mergeCell ref="M415:N415"/>
    <mergeCell ref="O415:R415"/>
    <mergeCell ref="T415:U415"/>
    <mergeCell ref="V415:Y415"/>
    <mergeCell ref="AA415:AB415"/>
    <mergeCell ref="M416:N416"/>
    <mergeCell ref="T416:U416"/>
    <mergeCell ref="AA416:AB416"/>
    <mergeCell ref="M417:N417"/>
    <mergeCell ref="T417:U417"/>
    <mergeCell ref="AA417:AB417"/>
    <mergeCell ref="L418:M418"/>
    <mergeCell ref="S418:T418"/>
    <mergeCell ref="V418:Y418"/>
    <mergeCell ref="Z418:AA418"/>
    <mergeCell ref="O420:R420"/>
    <mergeCell ref="S420:U420"/>
    <mergeCell ref="Z420:AB420"/>
    <mergeCell ref="D418:G418"/>
    <mergeCell ref="G432:N432"/>
    <mergeCell ref="O432:U432"/>
    <mergeCell ref="V432:AB432"/>
    <mergeCell ref="B440:C440"/>
    <mergeCell ref="D440:N440"/>
    <mergeCell ref="O440:U440"/>
    <mergeCell ref="V440:AB440"/>
    <mergeCell ref="B441:C444"/>
    <mergeCell ref="J441:K441"/>
    <mergeCell ref="P441:R441"/>
    <mergeCell ref="S441:T441"/>
    <mergeCell ref="W441:Y441"/>
    <mergeCell ref="Z441:AA441"/>
    <mergeCell ref="J442:K442"/>
    <mergeCell ref="P442:R442"/>
    <mergeCell ref="S442:T442"/>
    <mergeCell ref="W442:Y442"/>
    <mergeCell ref="Z442:AA442"/>
    <mergeCell ref="J443:K443"/>
    <mergeCell ref="B413:C420"/>
    <mergeCell ref="D413:N413"/>
    <mergeCell ref="O413:U413"/>
    <mergeCell ref="V413:AB413"/>
    <mergeCell ref="D414:G414"/>
    <mergeCell ref="H414:K414"/>
    <mergeCell ref="L414:N414"/>
    <mergeCell ref="O414:R414"/>
    <mergeCell ref="S414:U414"/>
    <mergeCell ref="P443:R443"/>
    <mergeCell ref="S443:T443"/>
    <mergeCell ref="B445:C452"/>
    <mergeCell ref="D445:N445"/>
    <mergeCell ref="O445:U445"/>
    <mergeCell ref="V445:AB445"/>
    <mergeCell ref="D446:G446"/>
    <mergeCell ref="H446:K446"/>
    <mergeCell ref="O446:R446"/>
    <mergeCell ref="V446:Y446"/>
    <mergeCell ref="D447:G447"/>
    <mergeCell ref="M447:N447"/>
    <mergeCell ref="O447:R447"/>
    <mergeCell ref="T447:U447"/>
    <mergeCell ref="V447:Y447"/>
    <mergeCell ref="AA447:AB447"/>
    <mergeCell ref="M448:N448"/>
    <mergeCell ref="T448:U448"/>
    <mergeCell ref="AA448:AB448"/>
    <mergeCell ref="M449:N449"/>
    <mergeCell ref="T449:U449"/>
    <mergeCell ref="AA449:AB449"/>
    <mergeCell ref="D450:G450"/>
    <mergeCell ref="L450:M450"/>
    <mergeCell ref="S450:T450"/>
    <mergeCell ref="V450:Y450"/>
    <mergeCell ref="Z450:AA450"/>
    <mergeCell ref="L451:N451"/>
    <mergeCell ref="S451:U451"/>
    <mergeCell ref="Z451:AB451"/>
    <mergeCell ref="L452:N452"/>
    <mergeCell ref="O452:R452"/>
    <mergeCell ref="S452:U452"/>
    <mergeCell ref="Z452:AB452"/>
    <mergeCell ref="B453:C460"/>
    <mergeCell ref="D453:N453"/>
    <mergeCell ref="O453:U453"/>
    <mergeCell ref="V453:AB453"/>
    <mergeCell ref="H454:K454"/>
    <mergeCell ref="L454:N454"/>
    <mergeCell ref="S454:U454"/>
    <mergeCell ref="Z454:AB454"/>
    <mergeCell ref="D455:G455"/>
    <mergeCell ref="O455:R455"/>
    <mergeCell ref="V455:Y455"/>
    <mergeCell ref="M457:N457"/>
    <mergeCell ref="T457:U457"/>
    <mergeCell ref="AA457:AB457"/>
    <mergeCell ref="L458:M458"/>
    <mergeCell ref="S458:T458"/>
    <mergeCell ref="V458:Y458"/>
    <mergeCell ref="Z458:AA458"/>
    <mergeCell ref="L460:N460"/>
    <mergeCell ref="O460:R460"/>
    <mergeCell ref="S460:U460"/>
    <mergeCell ref="Z460:AB460"/>
    <mergeCell ref="L472:N472"/>
    <mergeCell ref="O472:R472"/>
    <mergeCell ref="S472:U472"/>
    <mergeCell ref="V472:Y472"/>
    <mergeCell ref="Z472:AB472"/>
    <mergeCell ref="M473:N473"/>
    <mergeCell ref="T473:U473"/>
    <mergeCell ref="AA473:AB473"/>
    <mergeCell ref="D476:G476"/>
    <mergeCell ref="L476:M476"/>
    <mergeCell ref="S476:T476"/>
    <mergeCell ref="V476:Y476"/>
    <mergeCell ref="Z476:AA476"/>
    <mergeCell ref="L477:N477"/>
    <mergeCell ref="S477:U477"/>
    <mergeCell ref="Z477:AB477"/>
    <mergeCell ref="O478:R478"/>
    <mergeCell ref="O486:R486"/>
    <mergeCell ref="B487:C495"/>
    <mergeCell ref="D487:N487"/>
    <mergeCell ref="O487:U487"/>
    <mergeCell ref="V487:AB487"/>
    <mergeCell ref="D488:G488"/>
    <mergeCell ref="H488:K488"/>
    <mergeCell ref="L488:N488"/>
    <mergeCell ref="O488:R488"/>
    <mergeCell ref="S488:U488"/>
    <mergeCell ref="V488:Y488"/>
    <mergeCell ref="Z488:AB488"/>
    <mergeCell ref="D489:G489"/>
    <mergeCell ref="M489:N489"/>
    <mergeCell ref="O489:R489"/>
    <mergeCell ref="T489:U489"/>
    <mergeCell ref="V489:Y489"/>
    <mergeCell ref="AA489:AB489"/>
    <mergeCell ref="M490:N490"/>
    <mergeCell ref="T490:U490"/>
    <mergeCell ref="AA490:AB490"/>
    <mergeCell ref="M491:N491"/>
    <mergeCell ref="T491:U491"/>
    <mergeCell ref="AA491:AB491"/>
    <mergeCell ref="L492:M492"/>
    <mergeCell ref="S492:T492"/>
    <mergeCell ref="V492:Y492"/>
    <mergeCell ref="Z492:AA492"/>
    <mergeCell ref="D493:G493"/>
    <mergeCell ref="L493:N493"/>
    <mergeCell ref="S493:U493"/>
    <mergeCell ref="Z493:AB493"/>
    <mergeCell ref="L494:N494"/>
    <mergeCell ref="S494:U494"/>
    <mergeCell ref="Z494:AB494"/>
    <mergeCell ref="B496:C504"/>
    <mergeCell ref="D496:N496"/>
    <mergeCell ref="O496:U496"/>
    <mergeCell ref="V496:AB496"/>
    <mergeCell ref="D497:G497"/>
    <mergeCell ref="H497:K497"/>
    <mergeCell ref="L497:N497"/>
    <mergeCell ref="O497:R497"/>
    <mergeCell ref="S497:U497"/>
    <mergeCell ref="V497:Y497"/>
    <mergeCell ref="Z497:AB497"/>
    <mergeCell ref="D498:G498"/>
    <mergeCell ref="M498:N498"/>
    <mergeCell ref="O498:R498"/>
    <mergeCell ref="T498:U498"/>
    <mergeCell ref="V498:Y498"/>
    <mergeCell ref="AA498:AB498"/>
    <mergeCell ref="M499:N499"/>
    <mergeCell ref="T499:U499"/>
    <mergeCell ref="AA499:AB499"/>
    <mergeCell ref="M500:N500"/>
    <mergeCell ref="T500:U500"/>
    <mergeCell ref="AA500:AB500"/>
    <mergeCell ref="D501:G501"/>
    <mergeCell ref="L501:M501"/>
    <mergeCell ref="S501:T501"/>
    <mergeCell ref="V501:Y501"/>
    <mergeCell ref="Z501:AA501"/>
    <mergeCell ref="L502:N502"/>
    <mergeCell ref="S502:U502"/>
    <mergeCell ref="Z502:AB502"/>
    <mergeCell ref="L503:N503"/>
    <mergeCell ref="O503:R503"/>
    <mergeCell ref="S503:U503"/>
    <mergeCell ref="Z503:AB503"/>
    <mergeCell ref="B505:C519"/>
    <mergeCell ref="D505:N505"/>
    <mergeCell ref="O505:U505"/>
    <mergeCell ref="V505:AB505"/>
    <mergeCell ref="D506:G506"/>
    <mergeCell ref="H506:K506"/>
    <mergeCell ref="L506:N506"/>
    <mergeCell ref="O506:R506"/>
    <mergeCell ref="S506:U506"/>
    <mergeCell ref="V506:Y506"/>
    <mergeCell ref="Z506:AB506"/>
    <mergeCell ref="D507:G507"/>
    <mergeCell ref="M507:N507"/>
    <mergeCell ref="O507:R507"/>
    <mergeCell ref="T507:U507"/>
    <mergeCell ref="V507:Y507"/>
    <mergeCell ref="AA507:AB507"/>
    <mergeCell ref="M508:N508"/>
    <mergeCell ref="T508:U508"/>
    <mergeCell ref="AA508:AB508"/>
    <mergeCell ref="E509:F509"/>
    <mergeCell ref="M509:N509"/>
    <mergeCell ref="T509:U509"/>
    <mergeCell ref="AA509:AB509"/>
    <mergeCell ref="L510:M510"/>
    <mergeCell ref="S510:T510"/>
    <mergeCell ref="V510:Y510"/>
    <mergeCell ref="Z510:AA510"/>
    <mergeCell ref="D511:G511"/>
    <mergeCell ref="L511:N511"/>
    <mergeCell ref="S511:U511"/>
    <mergeCell ref="Z511:AB511"/>
    <mergeCell ref="L512:N512"/>
    <mergeCell ref="S512:U512"/>
    <mergeCell ref="Z512:AB512"/>
    <mergeCell ref="O514:R514"/>
    <mergeCell ref="L519:N519"/>
    <mergeCell ref="S519:U519"/>
    <mergeCell ref="Z519:AB519"/>
    <mergeCell ref="B520:C527"/>
    <mergeCell ref="D520:N520"/>
    <mergeCell ref="O520:U520"/>
    <mergeCell ref="V520:AB520"/>
    <mergeCell ref="D521:G521"/>
    <mergeCell ref="H521:K521"/>
    <mergeCell ref="L521:N521"/>
    <mergeCell ref="O521:R521"/>
    <mergeCell ref="S521:U521"/>
    <mergeCell ref="V521:Y521"/>
    <mergeCell ref="Z521:AB521"/>
    <mergeCell ref="D522:G522"/>
    <mergeCell ref="M522:N522"/>
    <mergeCell ref="O522:R522"/>
    <mergeCell ref="T522:U522"/>
    <mergeCell ref="V522:Y522"/>
    <mergeCell ref="AA522:AB522"/>
    <mergeCell ref="M523:N523"/>
    <mergeCell ref="T523:U523"/>
    <mergeCell ref="AA523:AB523"/>
    <mergeCell ref="M524:N524"/>
    <mergeCell ref="T524:U524"/>
    <mergeCell ref="AA524:AB524"/>
    <mergeCell ref="L525:M525"/>
    <mergeCell ref="S525:T525"/>
    <mergeCell ref="V525:Y525"/>
    <mergeCell ref="Z525:AA525"/>
    <mergeCell ref="D526:G526"/>
    <mergeCell ref="L526:N526"/>
    <mergeCell ref="S526:U526"/>
    <mergeCell ref="Z526:AB526"/>
    <mergeCell ref="L527:N527"/>
    <mergeCell ref="O527:R527"/>
    <mergeCell ref="S527:U527"/>
    <mergeCell ref="Z527:AB527"/>
    <mergeCell ref="B528:C535"/>
    <mergeCell ref="D528:N528"/>
    <mergeCell ref="O528:U528"/>
    <mergeCell ref="V528:AB528"/>
    <mergeCell ref="D529:G529"/>
    <mergeCell ref="H529:K529"/>
    <mergeCell ref="L529:N529"/>
    <mergeCell ref="O529:R529"/>
    <mergeCell ref="S529:U529"/>
    <mergeCell ref="V529:Y529"/>
    <mergeCell ref="Z529:AB529"/>
    <mergeCell ref="D530:G530"/>
    <mergeCell ref="M530:N530"/>
    <mergeCell ref="O530:R530"/>
    <mergeCell ref="T530:U530"/>
    <mergeCell ref="V530:Y530"/>
    <mergeCell ref="AA530:AB530"/>
    <mergeCell ref="M531:N531"/>
    <mergeCell ref="T531:U531"/>
    <mergeCell ref="AA531:AB531"/>
    <mergeCell ref="M532:N532"/>
    <mergeCell ref="T532:U532"/>
    <mergeCell ref="AA532:AB532"/>
    <mergeCell ref="D533:G533"/>
    <mergeCell ref="L533:M533"/>
    <mergeCell ref="S533:T533"/>
    <mergeCell ref="V533:Y533"/>
    <mergeCell ref="Z533:AA533"/>
    <mergeCell ref="D534:G534"/>
    <mergeCell ref="L534:N534"/>
    <mergeCell ref="S534:U534"/>
    <mergeCell ref="Z534:AB534"/>
    <mergeCell ref="L535:N535"/>
    <mergeCell ref="O535:R535"/>
    <mergeCell ref="S535:U535"/>
    <mergeCell ref="Z535:AB535"/>
    <mergeCell ref="B536:C543"/>
    <mergeCell ref="D536:N536"/>
    <mergeCell ref="O536:U536"/>
    <mergeCell ref="V536:AB536"/>
    <mergeCell ref="D537:G537"/>
    <mergeCell ref="H537:K537"/>
    <mergeCell ref="L537:N537"/>
    <mergeCell ref="O537:R537"/>
    <mergeCell ref="S537:U537"/>
    <mergeCell ref="V537:Y537"/>
    <mergeCell ref="Z537:AB537"/>
    <mergeCell ref="D538:G538"/>
    <mergeCell ref="M538:N538"/>
    <mergeCell ref="O538:R538"/>
    <mergeCell ref="T538:U538"/>
    <mergeCell ref="V538:Y538"/>
    <mergeCell ref="AA538:AB538"/>
    <mergeCell ref="M548:N548"/>
    <mergeCell ref="T548:U548"/>
    <mergeCell ref="AA548:AB548"/>
    <mergeCell ref="D549:G549"/>
    <mergeCell ref="L549:M549"/>
    <mergeCell ref="O549:R549"/>
    <mergeCell ref="S549:T549"/>
    <mergeCell ref="V549:Y549"/>
    <mergeCell ref="Z549:AA549"/>
    <mergeCell ref="L550:N550"/>
    <mergeCell ref="S550:U550"/>
    <mergeCell ref="Z550:AB550"/>
    <mergeCell ref="M539:N539"/>
    <mergeCell ref="T539:U539"/>
    <mergeCell ref="AA539:AB539"/>
    <mergeCell ref="M540:N540"/>
    <mergeCell ref="T540:U540"/>
    <mergeCell ref="AA540:AB540"/>
    <mergeCell ref="L541:M541"/>
    <mergeCell ref="S541:T541"/>
    <mergeCell ref="V541:Y541"/>
    <mergeCell ref="Z541:AA541"/>
    <mergeCell ref="L542:N542"/>
    <mergeCell ref="S542:U542"/>
    <mergeCell ref="Z542:AB542"/>
    <mergeCell ref="D543:G543"/>
    <mergeCell ref="L543:N543"/>
    <mergeCell ref="O543:R543"/>
    <mergeCell ref="S543:U543"/>
    <mergeCell ref="Z543:AB543"/>
    <mergeCell ref="D544:N544"/>
    <mergeCell ref="O544:U544"/>
    <mergeCell ref="V544:AB544"/>
    <mergeCell ref="D545:G545"/>
    <mergeCell ref="H545:K545"/>
    <mergeCell ref="L545:N545"/>
    <mergeCell ref="O545:R545"/>
    <mergeCell ref="S545:U545"/>
    <mergeCell ref="V545:Y545"/>
    <mergeCell ref="Z545:AB545"/>
    <mergeCell ref="D546:G546"/>
    <mergeCell ref="M546:N546"/>
    <mergeCell ref="O546:R546"/>
    <mergeCell ref="T546:U546"/>
    <mergeCell ref="V546:Y546"/>
    <mergeCell ref="AA546:AB546"/>
    <mergeCell ref="M547:N547"/>
    <mergeCell ref="T547:U547"/>
    <mergeCell ref="AA547:AB547"/>
    <mergeCell ref="D551:G551"/>
    <mergeCell ref="L551:N551"/>
    <mergeCell ref="O551:R551"/>
    <mergeCell ref="S551:U551"/>
    <mergeCell ref="Z551:AB551"/>
    <mergeCell ref="B552:C564"/>
    <mergeCell ref="D552:N552"/>
    <mergeCell ref="O552:U552"/>
    <mergeCell ref="V552:AB552"/>
    <mergeCell ref="D553:G553"/>
    <mergeCell ref="H553:K553"/>
    <mergeCell ref="L553:N553"/>
    <mergeCell ref="O553:R553"/>
    <mergeCell ref="S553:U553"/>
    <mergeCell ref="V553:Y553"/>
    <mergeCell ref="Z553:AB553"/>
    <mergeCell ref="D554:G554"/>
    <mergeCell ref="M554:N554"/>
    <mergeCell ref="O554:R554"/>
    <mergeCell ref="T554:U554"/>
    <mergeCell ref="V554:Y554"/>
    <mergeCell ref="AA554:AB554"/>
    <mergeCell ref="M555:N555"/>
    <mergeCell ref="T555:U555"/>
    <mergeCell ref="AA555:AB555"/>
    <mergeCell ref="M556:N556"/>
    <mergeCell ref="T556:U556"/>
    <mergeCell ref="AA556:AB556"/>
    <mergeCell ref="D557:G557"/>
    <mergeCell ref="L557:M557"/>
    <mergeCell ref="S557:T557"/>
    <mergeCell ref="B544:C551"/>
    <mergeCell ref="B565:C575"/>
    <mergeCell ref="D565:N565"/>
    <mergeCell ref="O565:U565"/>
    <mergeCell ref="V565:AB565"/>
    <mergeCell ref="D566:G566"/>
    <mergeCell ref="H566:K566"/>
    <mergeCell ref="L566:N566"/>
    <mergeCell ref="O566:R566"/>
    <mergeCell ref="S566:U566"/>
    <mergeCell ref="V566:Y566"/>
    <mergeCell ref="Z566:AB566"/>
    <mergeCell ref="D567:G567"/>
    <mergeCell ref="M567:N567"/>
    <mergeCell ref="O567:R567"/>
    <mergeCell ref="T567:U567"/>
    <mergeCell ref="V567:Y567"/>
    <mergeCell ref="AA567:AB567"/>
    <mergeCell ref="M568:N568"/>
    <mergeCell ref="D571:G571"/>
    <mergeCell ref="L571:N571"/>
    <mergeCell ref="S571:U571"/>
    <mergeCell ref="Z571:AB571"/>
    <mergeCell ref="L572:N572"/>
    <mergeCell ref="O572:R572"/>
    <mergeCell ref="S572:U572"/>
    <mergeCell ref="Z572:AB572"/>
    <mergeCell ref="T568:U568"/>
    <mergeCell ref="AA568:AB568"/>
    <mergeCell ref="M569:N569"/>
    <mergeCell ref="T569:U569"/>
    <mergeCell ref="AA569:AB569"/>
    <mergeCell ref="L570:M570"/>
    <mergeCell ref="B576:C583"/>
    <mergeCell ref="D576:N576"/>
    <mergeCell ref="O576:U576"/>
    <mergeCell ref="V576:AB576"/>
    <mergeCell ref="D577:G577"/>
    <mergeCell ref="H577:K577"/>
    <mergeCell ref="L577:N577"/>
    <mergeCell ref="O577:R577"/>
    <mergeCell ref="S577:U577"/>
    <mergeCell ref="V577:Y577"/>
    <mergeCell ref="Z577:AB577"/>
    <mergeCell ref="D578:G578"/>
    <mergeCell ref="M578:N578"/>
    <mergeCell ref="O578:R578"/>
    <mergeCell ref="T578:U578"/>
    <mergeCell ref="V578:Y578"/>
    <mergeCell ref="AA578:AB578"/>
    <mergeCell ref="M579:N579"/>
    <mergeCell ref="Z581:AA581"/>
    <mergeCell ref="D582:G582"/>
    <mergeCell ref="L582:N582"/>
    <mergeCell ref="S582:U582"/>
    <mergeCell ref="Z582:AB582"/>
    <mergeCell ref="Z583:AB583"/>
    <mergeCell ref="T580:U580"/>
    <mergeCell ref="AA580:AB580"/>
    <mergeCell ref="V557:Y557"/>
    <mergeCell ref="Z557:AA557"/>
    <mergeCell ref="D558:G558"/>
    <mergeCell ref="L558:N558"/>
    <mergeCell ref="S558:U558"/>
    <mergeCell ref="Z558:AB558"/>
    <mergeCell ref="L559:N559"/>
    <mergeCell ref="O559:R559"/>
    <mergeCell ref="S559:U559"/>
    <mergeCell ref="Z559:AB559"/>
    <mergeCell ref="O561:R561"/>
    <mergeCell ref="L564:N564"/>
    <mergeCell ref="S564:U564"/>
    <mergeCell ref="Z564:AB564"/>
    <mergeCell ref="D581:G581"/>
    <mergeCell ref="L581:M581"/>
    <mergeCell ref="S581:T581"/>
    <mergeCell ref="V581:Y581"/>
    <mergeCell ref="S570:T570"/>
    <mergeCell ref="V570:Y570"/>
    <mergeCell ref="Z570:AA570"/>
    <mergeCell ref="O573:R573"/>
    <mergeCell ref="S573:U573"/>
    <mergeCell ref="Z573:AB573"/>
    <mergeCell ref="T579:U579"/>
    <mergeCell ref="AA579:AB579"/>
    <mergeCell ref="M580:N580"/>
    <mergeCell ref="D470:G470"/>
    <mergeCell ref="O494:R494"/>
    <mergeCell ref="O512:R512"/>
    <mergeCell ref="O533:R533"/>
    <mergeCell ref="O557:R557"/>
    <mergeCell ref="D570:G570"/>
    <mergeCell ref="B584:C592"/>
    <mergeCell ref="D584:N584"/>
    <mergeCell ref="O584:U584"/>
    <mergeCell ref="V584:AB584"/>
    <mergeCell ref="D585:G585"/>
    <mergeCell ref="H585:K585"/>
    <mergeCell ref="L585:N585"/>
    <mergeCell ref="O585:R585"/>
    <mergeCell ref="S585:U585"/>
    <mergeCell ref="V585:Y585"/>
    <mergeCell ref="Z585:AB585"/>
    <mergeCell ref="D586:G586"/>
    <mergeCell ref="M586:N586"/>
    <mergeCell ref="O586:R586"/>
    <mergeCell ref="T586:U586"/>
    <mergeCell ref="V586:Y586"/>
    <mergeCell ref="AA586:AB586"/>
    <mergeCell ref="V588:Y588"/>
    <mergeCell ref="L574:N574"/>
    <mergeCell ref="O574:R574"/>
    <mergeCell ref="S574:U574"/>
    <mergeCell ref="Z574:AB574"/>
    <mergeCell ref="L573:N573"/>
    <mergeCell ref="L583:N583"/>
    <mergeCell ref="O583:R583"/>
    <mergeCell ref="S583:U583"/>
    <mergeCell ref="M587:N587"/>
    <mergeCell ref="G595:N595"/>
    <mergeCell ref="O595:U595"/>
    <mergeCell ref="V595:AB595"/>
    <mergeCell ref="AA588:AB588"/>
    <mergeCell ref="D589:G589"/>
    <mergeCell ref="L589:M589"/>
    <mergeCell ref="O589:R589"/>
    <mergeCell ref="S589:T589"/>
    <mergeCell ref="Z589:AA589"/>
    <mergeCell ref="L590:N590"/>
    <mergeCell ref="S590:U590"/>
    <mergeCell ref="V590:Y590"/>
    <mergeCell ref="Z590:AB590"/>
    <mergeCell ref="L591:N591"/>
    <mergeCell ref="O591:R591"/>
    <mergeCell ref="S591:U591"/>
    <mergeCell ref="Z591:AB591"/>
    <mergeCell ref="T587:U587"/>
    <mergeCell ref="AA587:AB587"/>
    <mergeCell ref="M588:N588"/>
    <mergeCell ref="T588:U588"/>
    <mergeCell ref="B603:C603"/>
    <mergeCell ref="D603:N603"/>
    <mergeCell ref="O603:U603"/>
    <mergeCell ref="V603:AB603"/>
    <mergeCell ref="B604:C607"/>
    <mergeCell ref="J604:K604"/>
    <mergeCell ref="P604:R604"/>
    <mergeCell ref="S604:T604"/>
    <mergeCell ref="W604:Y604"/>
    <mergeCell ref="Z604:AA604"/>
    <mergeCell ref="J605:K605"/>
    <mergeCell ref="P605:R605"/>
    <mergeCell ref="S605:T605"/>
    <mergeCell ref="W605:Y605"/>
    <mergeCell ref="Z605:AA605"/>
    <mergeCell ref="J606:K606"/>
    <mergeCell ref="P606:R606"/>
    <mergeCell ref="S606:T606"/>
    <mergeCell ref="D605:E605"/>
    <mergeCell ref="D606:E606"/>
    <mergeCell ref="D607:E607"/>
    <mergeCell ref="B608:C615"/>
    <mergeCell ref="D608:N608"/>
    <mergeCell ref="O608:U608"/>
    <mergeCell ref="V608:AB608"/>
    <mergeCell ref="D609:G609"/>
    <mergeCell ref="H609:K609"/>
    <mergeCell ref="L609:N609"/>
    <mergeCell ref="O609:R609"/>
    <mergeCell ref="S609:U609"/>
    <mergeCell ref="V609:Y609"/>
    <mergeCell ref="Z609:AB609"/>
    <mergeCell ref="D610:G610"/>
    <mergeCell ref="M610:N610"/>
    <mergeCell ref="O610:R610"/>
    <mergeCell ref="T610:U610"/>
    <mergeCell ref="V610:Y610"/>
    <mergeCell ref="AA610:AB610"/>
    <mergeCell ref="M611:N611"/>
    <mergeCell ref="T611:U611"/>
    <mergeCell ref="AA611:AB611"/>
    <mergeCell ref="M612:N612"/>
    <mergeCell ref="T612:U612"/>
    <mergeCell ref="AA612:AB612"/>
    <mergeCell ref="D613:G613"/>
    <mergeCell ref="L613:M613"/>
    <mergeCell ref="S613:T613"/>
    <mergeCell ref="V613:Y613"/>
    <mergeCell ref="Z613:AA613"/>
    <mergeCell ref="L614:N614"/>
    <mergeCell ref="S614:U614"/>
    <mergeCell ref="Z614:AB614"/>
    <mergeCell ref="L615:N615"/>
    <mergeCell ref="O615:R615"/>
    <mergeCell ref="S615:U615"/>
    <mergeCell ref="Z615:AB615"/>
    <mergeCell ref="B616:C623"/>
    <mergeCell ref="D616:N616"/>
    <mergeCell ref="O616:U616"/>
    <mergeCell ref="V616:AB616"/>
    <mergeCell ref="D617:G617"/>
    <mergeCell ref="H617:K617"/>
    <mergeCell ref="L617:N617"/>
    <mergeCell ref="O617:R617"/>
    <mergeCell ref="S617:U617"/>
    <mergeCell ref="V617:Y617"/>
    <mergeCell ref="Z617:AB617"/>
    <mergeCell ref="D618:G618"/>
    <mergeCell ref="M618:N618"/>
    <mergeCell ref="O618:R618"/>
    <mergeCell ref="T618:U618"/>
    <mergeCell ref="V618:Y618"/>
    <mergeCell ref="AA618:AB618"/>
    <mergeCell ref="M619:N619"/>
    <mergeCell ref="T619:U619"/>
    <mergeCell ref="AA619:AB619"/>
    <mergeCell ref="M620:N620"/>
    <mergeCell ref="T620:U620"/>
    <mergeCell ref="AA620:AB620"/>
    <mergeCell ref="D621:G621"/>
    <mergeCell ref="V621:Y621"/>
    <mergeCell ref="Z621:AA621"/>
    <mergeCell ref="L622:N622"/>
    <mergeCell ref="S622:U622"/>
    <mergeCell ref="Z622:AB622"/>
    <mergeCell ref="L623:N623"/>
    <mergeCell ref="O623:R623"/>
    <mergeCell ref="S623:U623"/>
    <mergeCell ref="Z623:AB623"/>
    <mergeCell ref="B624:C633"/>
    <mergeCell ref="D624:N624"/>
    <mergeCell ref="O624:U624"/>
    <mergeCell ref="V624:AB624"/>
    <mergeCell ref="D625:G625"/>
    <mergeCell ref="H625:K625"/>
    <mergeCell ref="L625:N625"/>
    <mergeCell ref="O625:R625"/>
    <mergeCell ref="S625:U625"/>
    <mergeCell ref="V625:Y625"/>
    <mergeCell ref="Z625:AB625"/>
    <mergeCell ref="D626:G626"/>
    <mergeCell ref="M626:N626"/>
    <mergeCell ref="O626:R626"/>
    <mergeCell ref="T626:U626"/>
    <mergeCell ref="V626:Y626"/>
    <mergeCell ref="AA626:AB626"/>
    <mergeCell ref="M627:N627"/>
    <mergeCell ref="T627:U627"/>
    <mergeCell ref="AA627:AB627"/>
    <mergeCell ref="M628:N628"/>
    <mergeCell ref="T628:U628"/>
    <mergeCell ref="AA628:AB628"/>
    <mergeCell ref="L631:N631"/>
    <mergeCell ref="O631:R631"/>
    <mergeCell ref="S631:U631"/>
    <mergeCell ref="Z631:AB631"/>
    <mergeCell ref="L639:M639"/>
    <mergeCell ref="S639:T639"/>
    <mergeCell ref="V639:Y639"/>
    <mergeCell ref="Z639:AA639"/>
    <mergeCell ref="D640:G640"/>
    <mergeCell ref="L640:N640"/>
    <mergeCell ref="S640:U640"/>
    <mergeCell ref="Z640:AB640"/>
    <mergeCell ref="L641:N641"/>
    <mergeCell ref="O641:R641"/>
    <mergeCell ref="S641:U641"/>
    <mergeCell ref="Z641:AB641"/>
    <mergeCell ref="B642:C649"/>
    <mergeCell ref="D642:N642"/>
    <mergeCell ref="O642:U642"/>
    <mergeCell ref="V642:AB642"/>
    <mergeCell ref="D643:G643"/>
    <mergeCell ref="H643:K643"/>
    <mergeCell ref="L643:N643"/>
    <mergeCell ref="O643:R643"/>
    <mergeCell ref="S643:U643"/>
    <mergeCell ref="V643:Y643"/>
    <mergeCell ref="Z643:AB643"/>
    <mergeCell ref="D644:G644"/>
    <mergeCell ref="M644:N644"/>
    <mergeCell ref="O644:R644"/>
    <mergeCell ref="T644:U644"/>
    <mergeCell ref="V644:Y644"/>
    <mergeCell ref="AA644:AB644"/>
    <mergeCell ref="M645:N645"/>
    <mergeCell ref="T645:U645"/>
    <mergeCell ref="AA645:AB645"/>
    <mergeCell ref="M646:N646"/>
    <mergeCell ref="T646:U646"/>
    <mergeCell ref="AA646:AB646"/>
    <mergeCell ref="D647:G647"/>
    <mergeCell ref="D648:G648"/>
    <mergeCell ref="L648:N648"/>
    <mergeCell ref="S648:U648"/>
    <mergeCell ref="Z648:AB648"/>
    <mergeCell ref="L649:N649"/>
    <mergeCell ref="O649:R649"/>
    <mergeCell ref="S649:U649"/>
    <mergeCell ref="Z649:AB649"/>
    <mergeCell ref="B650:C658"/>
    <mergeCell ref="D650:N650"/>
    <mergeCell ref="O650:U650"/>
    <mergeCell ref="V650:AB650"/>
    <mergeCell ref="D651:G651"/>
    <mergeCell ref="H651:K651"/>
    <mergeCell ref="L651:N651"/>
    <mergeCell ref="O651:R651"/>
    <mergeCell ref="S651:U651"/>
    <mergeCell ref="V651:Y651"/>
    <mergeCell ref="Z651:AB651"/>
    <mergeCell ref="D652:G652"/>
    <mergeCell ref="M652:N652"/>
    <mergeCell ref="O652:R652"/>
    <mergeCell ref="T652:U652"/>
    <mergeCell ref="V652:Y652"/>
    <mergeCell ref="AA652:AB652"/>
    <mergeCell ref="M653:N653"/>
    <mergeCell ref="T653:U653"/>
    <mergeCell ref="AA653:AB653"/>
    <mergeCell ref="M654:N654"/>
    <mergeCell ref="T654:U654"/>
    <mergeCell ref="AA654:AB654"/>
    <mergeCell ref="L655:M655"/>
    <mergeCell ref="D656:G656"/>
    <mergeCell ref="L656:N656"/>
    <mergeCell ref="S656:U656"/>
    <mergeCell ref="Z656:AB656"/>
    <mergeCell ref="L657:N657"/>
    <mergeCell ref="O657:R657"/>
    <mergeCell ref="S657:U657"/>
    <mergeCell ref="Z657:AB657"/>
    <mergeCell ref="B659:C667"/>
    <mergeCell ref="D659:N659"/>
    <mergeCell ref="O659:U659"/>
    <mergeCell ref="V659:AB659"/>
    <mergeCell ref="D660:G660"/>
    <mergeCell ref="H660:K660"/>
    <mergeCell ref="L660:N660"/>
    <mergeCell ref="O660:R660"/>
    <mergeCell ref="S660:U660"/>
    <mergeCell ref="V660:Y660"/>
    <mergeCell ref="Z660:AB660"/>
    <mergeCell ref="D661:G661"/>
    <mergeCell ref="M661:N661"/>
    <mergeCell ref="O661:R661"/>
    <mergeCell ref="T661:U661"/>
    <mergeCell ref="V661:Y661"/>
    <mergeCell ref="AA661:AB661"/>
    <mergeCell ref="M662:N662"/>
    <mergeCell ref="T662:U662"/>
    <mergeCell ref="AA662:AB662"/>
    <mergeCell ref="M663:N663"/>
    <mergeCell ref="T663:U663"/>
    <mergeCell ref="AA663:AB663"/>
    <mergeCell ref="D664:G664"/>
    <mergeCell ref="L664:M664"/>
    <mergeCell ref="S664:T664"/>
    <mergeCell ref="V664:Y664"/>
    <mergeCell ref="Z664:AA664"/>
    <mergeCell ref="L665:N665"/>
    <mergeCell ref="S665:U665"/>
    <mergeCell ref="Z665:AB665"/>
    <mergeCell ref="L666:N666"/>
    <mergeCell ref="O666:R666"/>
    <mergeCell ref="S666:U666"/>
    <mergeCell ref="Z666:AB666"/>
    <mergeCell ref="B668:C682"/>
    <mergeCell ref="D668:N668"/>
    <mergeCell ref="O668:U668"/>
    <mergeCell ref="V668:AB668"/>
    <mergeCell ref="D669:G669"/>
    <mergeCell ref="H669:K669"/>
    <mergeCell ref="L669:N669"/>
    <mergeCell ref="O669:R669"/>
    <mergeCell ref="S669:U669"/>
    <mergeCell ref="V669:Y669"/>
    <mergeCell ref="Z669:AB669"/>
    <mergeCell ref="D674:G674"/>
    <mergeCell ref="L674:N674"/>
    <mergeCell ref="S674:U674"/>
    <mergeCell ref="Z674:AB674"/>
    <mergeCell ref="L675:N675"/>
    <mergeCell ref="O675:R675"/>
    <mergeCell ref="S675:U675"/>
    <mergeCell ref="Z675:AB675"/>
    <mergeCell ref="O677:R677"/>
    <mergeCell ref="L682:N682"/>
    <mergeCell ref="D670:G670"/>
    <mergeCell ref="M670:N670"/>
    <mergeCell ref="O670:R670"/>
    <mergeCell ref="T670:U670"/>
    <mergeCell ref="V670:Y670"/>
    <mergeCell ref="AA670:AB670"/>
    <mergeCell ref="M671:N671"/>
    <mergeCell ref="T671:U671"/>
    <mergeCell ref="AA671:AB671"/>
    <mergeCell ref="E672:F672"/>
    <mergeCell ref="M672:N672"/>
    <mergeCell ref="T672:U672"/>
    <mergeCell ref="AA672:AB672"/>
    <mergeCell ref="L673:M673"/>
    <mergeCell ref="S673:T673"/>
    <mergeCell ref="V673:Y673"/>
    <mergeCell ref="Z673:AA673"/>
    <mergeCell ref="S682:U682"/>
    <mergeCell ref="Z682:AB682"/>
    <mergeCell ref="B683:C690"/>
    <mergeCell ref="D683:N683"/>
    <mergeCell ref="O683:U683"/>
    <mergeCell ref="V683:AB683"/>
    <mergeCell ref="D684:G684"/>
    <mergeCell ref="H684:K684"/>
    <mergeCell ref="L684:N684"/>
    <mergeCell ref="O684:R684"/>
    <mergeCell ref="S684:U684"/>
    <mergeCell ref="V684:Y684"/>
    <mergeCell ref="Z684:AB684"/>
    <mergeCell ref="D685:G685"/>
    <mergeCell ref="M685:N685"/>
    <mergeCell ref="O685:R685"/>
    <mergeCell ref="T685:U685"/>
    <mergeCell ref="V685:Y685"/>
    <mergeCell ref="AA685:AB685"/>
    <mergeCell ref="M686:N686"/>
    <mergeCell ref="T686:U686"/>
    <mergeCell ref="AA686:AB686"/>
    <mergeCell ref="M687:N687"/>
    <mergeCell ref="T687:U687"/>
    <mergeCell ref="AA687:AB687"/>
    <mergeCell ref="L688:M688"/>
    <mergeCell ref="S688:T688"/>
    <mergeCell ref="V688:Y688"/>
    <mergeCell ref="Z688:AA688"/>
    <mergeCell ref="D689:G689"/>
    <mergeCell ref="L689:N689"/>
    <mergeCell ref="S689:U689"/>
    <mergeCell ref="Z689:AB689"/>
    <mergeCell ref="L690:N690"/>
    <mergeCell ref="O690:R690"/>
    <mergeCell ref="S690:U690"/>
    <mergeCell ref="Z690:AB690"/>
    <mergeCell ref="B691:C698"/>
    <mergeCell ref="D691:N691"/>
    <mergeCell ref="O691:U691"/>
    <mergeCell ref="V691:AB691"/>
    <mergeCell ref="D692:G692"/>
    <mergeCell ref="H692:K692"/>
    <mergeCell ref="L692:N692"/>
    <mergeCell ref="O692:R692"/>
    <mergeCell ref="S692:U692"/>
    <mergeCell ref="V692:Y692"/>
    <mergeCell ref="Z692:AB692"/>
    <mergeCell ref="D693:G693"/>
    <mergeCell ref="M693:N693"/>
    <mergeCell ref="O693:R693"/>
    <mergeCell ref="T693:U693"/>
    <mergeCell ref="V693:Y693"/>
    <mergeCell ref="AA693:AB693"/>
    <mergeCell ref="M694:N694"/>
    <mergeCell ref="T694:U694"/>
    <mergeCell ref="AA694:AB694"/>
    <mergeCell ref="M695:N695"/>
    <mergeCell ref="T695:U695"/>
    <mergeCell ref="AA695:AB695"/>
    <mergeCell ref="D696:G696"/>
    <mergeCell ref="L696:M696"/>
    <mergeCell ref="O696:R696"/>
    <mergeCell ref="S696:T696"/>
    <mergeCell ref="V696:Y696"/>
    <mergeCell ref="Z696:AA696"/>
    <mergeCell ref="D697:G697"/>
    <mergeCell ref="L697:N697"/>
    <mergeCell ref="S697:U697"/>
    <mergeCell ref="Z697:AB697"/>
    <mergeCell ref="L698:N698"/>
    <mergeCell ref="O698:R698"/>
    <mergeCell ref="S698:U698"/>
    <mergeCell ref="Z698:AB698"/>
    <mergeCell ref="B699:C706"/>
    <mergeCell ref="D699:N699"/>
    <mergeCell ref="O699:U699"/>
    <mergeCell ref="V699:AB699"/>
    <mergeCell ref="D700:G700"/>
    <mergeCell ref="H700:K700"/>
    <mergeCell ref="L700:N700"/>
    <mergeCell ref="O700:R700"/>
    <mergeCell ref="S700:U700"/>
    <mergeCell ref="V700:Y700"/>
    <mergeCell ref="Z700:AB700"/>
    <mergeCell ref="D701:G701"/>
    <mergeCell ref="M701:N701"/>
    <mergeCell ref="O701:R701"/>
    <mergeCell ref="T701:U701"/>
    <mergeCell ref="V701:Y701"/>
    <mergeCell ref="AA701:AB701"/>
    <mergeCell ref="M702:N702"/>
    <mergeCell ref="T702:U702"/>
    <mergeCell ref="AA702:AB702"/>
    <mergeCell ref="M703:N703"/>
    <mergeCell ref="T703:U703"/>
    <mergeCell ref="AA703:AB703"/>
    <mergeCell ref="L704:M704"/>
    <mergeCell ref="S704:T704"/>
    <mergeCell ref="V704:Y704"/>
    <mergeCell ref="Z704:AA704"/>
    <mergeCell ref="L705:N705"/>
    <mergeCell ref="S705:U705"/>
    <mergeCell ref="Z705:AB705"/>
    <mergeCell ref="D706:G706"/>
    <mergeCell ref="L706:N706"/>
    <mergeCell ref="O706:R706"/>
    <mergeCell ref="S706:U706"/>
    <mergeCell ref="Z706:AB706"/>
    <mergeCell ref="B707:C714"/>
    <mergeCell ref="D707:N707"/>
    <mergeCell ref="O707:U707"/>
    <mergeCell ref="V707:AB707"/>
    <mergeCell ref="D708:G708"/>
    <mergeCell ref="H708:K708"/>
    <mergeCell ref="L708:N708"/>
    <mergeCell ref="O708:R708"/>
    <mergeCell ref="S708:U708"/>
    <mergeCell ref="V708:Y708"/>
    <mergeCell ref="Z708:AB708"/>
    <mergeCell ref="D709:G709"/>
    <mergeCell ref="M709:N709"/>
    <mergeCell ref="O709:R709"/>
    <mergeCell ref="T709:U709"/>
    <mergeCell ref="V709:Y709"/>
    <mergeCell ref="AA709:AB709"/>
    <mergeCell ref="M710:N710"/>
    <mergeCell ref="T710:U710"/>
    <mergeCell ref="AA710:AB710"/>
    <mergeCell ref="M711:N711"/>
    <mergeCell ref="T711:U711"/>
    <mergeCell ref="AA711:AB711"/>
    <mergeCell ref="D712:G712"/>
    <mergeCell ref="L712:M712"/>
    <mergeCell ref="O712:R712"/>
    <mergeCell ref="S712:T712"/>
    <mergeCell ref="V712:Y712"/>
    <mergeCell ref="Z712:AA712"/>
    <mergeCell ref="L713:N713"/>
    <mergeCell ref="S713:U713"/>
    <mergeCell ref="Z713:AB713"/>
    <mergeCell ref="D714:G714"/>
    <mergeCell ref="L714:N714"/>
    <mergeCell ref="O714:R714"/>
    <mergeCell ref="S714:U714"/>
    <mergeCell ref="Z714:AB714"/>
    <mergeCell ref="B715:C727"/>
    <mergeCell ref="D715:N715"/>
    <mergeCell ref="O715:U715"/>
    <mergeCell ref="V715:AB715"/>
    <mergeCell ref="D716:G716"/>
    <mergeCell ref="H716:K716"/>
    <mergeCell ref="L716:N716"/>
    <mergeCell ref="O716:R716"/>
    <mergeCell ref="S716:U716"/>
    <mergeCell ref="V716:Y716"/>
    <mergeCell ref="Z716:AB716"/>
    <mergeCell ref="D717:G717"/>
    <mergeCell ref="M717:N717"/>
    <mergeCell ref="O717:R717"/>
    <mergeCell ref="T717:U717"/>
    <mergeCell ref="V717:Y717"/>
    <mergeCell ref="O720:R720"/>
    <mergeCell ref="S720:T720"/>
    <mergeCell ref="B728:C738"/>
    <mergeCell ref="D728:N728"/>
    <mergeCell ref="O728:U728"/>
    <mergeCell ref="V728:AB728"/>
    <mergeCell ref="D729:G729"/>
    <mergeCell ref="H729:K729"/>
    <mergeCell ref="L729:N729"/>
    <mergeCell ref="O729:R729"/>
    <mergeCell ref="S729:U729"/>
    <mergeCell ref="V729:Y729"/>
    <mergeCell ref="Z729:AB729"/>
    <mergeCell ref="D730:G730"/>
    <mergeCell ref="M730:N730"/>
    <mergeCell ref="O730:R730"/>
    <mergeCell ref="T730:U730"/>
    <mergeCell ref="V730:Y730"/>
    <mergeCell ref="AA730:AB730"/>
    <mergeCell ref="M731:N731"/>
    <mergeCell ref="O735:R735"/>
    <mergeCell ref="S735:U735"/>
    <mergeCell ref="Z735:AB735"/>
    <mergeCell ref="L734:N734"/>
    <mergeCell ref="S734:U734"/>
    <mergeCell ref="Z734:AB734"/>
    <mergeCell ref="L735:N735"/>
    <mergeCell ref="T731:U731"/>
    <mergeCell ref="AA731:AB731"/>
    <mergeCell ref="M732:N732"/>
    <mergeCell ref="T732:U732"/>
    <mergeCell ref="L737:N737"/>
    <mergeCell ref="B739:C746"/>
    <mergeCell ref="D739:N739"/>
    <mergeCell ref="O739:U739"/>
    <mergeCell ref="V739:AB739"/>
    <mergeCell ref="D740:G740"/>
    <mergeCell ref="H740:K740"/>
    <mergeCell ref="L740:N740"/>
    <mergeCell ref="O740:R740"/>
    <mergeCell ref="S740:U740"/>
    <mergeCell ref="V740:Y740"/>
    <mergeCell ref="Z740:AB740"/>
    <mergeCell ref="D741:G741"/>
    <mergeCell ref="M741:N741"/>
    <mergeCell ref="O741:R741"/>
    <mergeCell ref="T741:U741"/>
    <mergeCell ref="V741:Y741"/>
    <mergeCell ref="AA741:AB741"/>
    <mergeCell ref="M742:N742"/>
    <mergeCell ref="D745:G745"/>
    <mergeCell ref="L745:N745"/>
    <mergeCell ref="S745:U745"/>
    <mergeCell ref="Z745:AB745"/>
    <mergeCell ref="L746:N746"/>
    <mergeCell ref="O746:R746"/>
    <mergeCell ref="S746:U746"/>
    <mergeCell ref="Z746:AB746"/>
    <mergeCell ref="B747:C755"/>
    <mergeCell ref="D747:N747"/>
    <mergeCell ref="O747:U747"/>
    <mergeCell ref="V747:AB747"/>
    <mergeCell ref="D748:G748"/>
    <mergeCell ref="H748:K748"/>
    <mergeCell ref="L748:N748"/>
    <mergeCell ref="O748:R748"/>
    <mergeCell ref="S748:U748"/>
    <mergeCell ref="V748:Y748"/>
    <mergeCell ref="Z748:AB748"/>
    <mergeCell ref="D749:G749"/>
    <mergeCell ref="M749:N749"/>
    <mergeCell ref="O749:R749"/>
    <mergeCell ref="T749:U749"/>
    <mergeCell ref="V749:Y749"/>
    <mergeCell ref="AA749:AB749"/>
    <mergeCell ref="M750:N750"/>
    <mergeCell ref="T750:U750"/>
    <mergeCell ref="AA750:AB750"/>
    <mergeCell ref="M751:N751"/>
    <mergeCell ref="T751:U751"/>
    <mergeCell ref="V751:Y751"/>
    <mergeCell ref="AA751:AB751"/>
    <mergeCell ref="D752:G752"/>
    <mergeCell ref="L752:M752"/>
    <mergeCell ref="O752:R752"/>
    <mergeCell ref="S752:T752"/>
    <mergeCell ref="Z752:AA752"/>
    <mergeCell ref="L753:N753"/>
    <mergeCell ref="S753:U753"/>
    <mergeCell ref="V753:Y753"/>
    <mergeCell ref="Z753:AB753"/>
    <mergeCell ref="L754:N754"/>
    <mergeCell ref="O754:R754"/>
    <mergeCell ref="S754:U754"/>
    <mergeCell ref="Z754:AB754"/>
    <mergeCell ref="O9:U10"/>
    <mergeCell ref="V7:AB8"/>
    <mergeCell ref="V135:AB136"/>
    <mergeCell ref="O137:U138"/>
    <mergeCell ref="V261:AB262"/>
    <mergeCell ref="O263:U264"/>
    <mergeCell ref="V433:AB434"/>
    <mergeCell ref="O435:U436"/>
    <mergeCell ref="V596:AB597"/>
    <mergeCell ref="O598:U599"/>
    <mergeCell ref="S744:T744"/>
    <mergeCell ref="V744:Y744"/>
    <mergeCell ref="Z744:AA744"/>
    <mergeCell ref="L736:N736"/>
    <mergeCell ref="O736:R736"/>
    <mergeCell ref="S736:U736"/>
    <mergeCell ref="Z736:AB736"/>
    <mergeCell ref="O737:R737"/>
    <mergeCell ref="S737:U737"/>
    <mergeCell ref="Z737:AB737"/>
    <mergeCell ref="P18:R18"/>
    <mergeCell ref="S18:T18"/>
    <mergeCell ref="P146:R146"/>
    <mergeCell ref="S146:T146"/>
    <mergeCell ref="P272:R272"/>
    <mergeCell ref="S272:T272"/>
    <mergeCell ref="P444:R444"/>
    <mergeCell ref="S444:T444"/>
    <mergeCell ref="P607:R607"/>
    <mergeCell ref="S607:T607"/>
    <mergeCell ref="AA732:AB732"/>
    <mergeCell ref="D733:G733"/>
    <mergeCell ref="L733:M733"/>
    <mergeCell ref="S733:T733"/>
    <mergeCell ref="V733:Y733"/>
    <mergeCell ref="Z733:AA733"/>
    <mergeCell ref="V720:Y720"/>
    <mergeCell ref="Z720:AA720"/>
    <mergeCell ref="D721:G721"/>
    <mergeCell ref="L721:N721"/>
    <mergeCell ref="S721:U721"/>
    <mergeCell ref="Z721:AB721"/>
    <mergeCell ref="L722:N722"/>
    <mergeCell ref="O722:R722"/>
    <mergeCell ref="S722:U722"/>
    <mergeCell ref="Z722:AB722"/>
    <mergeCell ref="O724:R724"/>
    <mergeCell ref="L727:N727"/>
    <mergeCell ref="S727:U727"/>
    <mergeCell ref="Z727:AB727"/>
    <mergeCell ref="AA717:AB717"/>
    <mergeCell ref="M718:N718"/>
    <mergeCell ref="T718:U718"/>
    <mergeCell ref="AA718:AB718"/>
    <mergeCell ref="M719:N719"/>
    <mergeCell ref="T719:U719"/>
    <mergeCell ref="AA719:AB719"/>
    <mergeCell ref="D720:G720"/>
    <mergeCell ref="L720:M720"/>
    <mergeCell ref="D734:G734"/>
    <mergeCell ref="T742:U742"/>
    <mergeCell ref="AA742:AB742"/>
    <mergeCell ref="M743:N743"/>
    <mergeCell ref="T743:U743"/>
    <mergeCell ref="AA743:AB743"/>
    <mergeCell ref="D744:G744"/>
    <mergeCell ref="L744:M744"/>
    <mergeCell ref="D15:E15"/>
    <mergeCell ref="D16:E16"/>
    <mergeCell ref="D17:E17"/>
    <mergeCell ref="D18:E18"/>
    <mergeCell ref="B4:C4"/>
    <mergeCell ref="D4:E4"/>
    <mergeCell ref="F4:G4"/>
    <mergeCell ref="H4:I4"/>
    <mergeCell ref="J4:K4"/>
    <mergeCell ref="L4:M4"/>
    <mergeCell ref="N4:O4"/>
    <mergeCell ref="D143:E143"/>
    <mergeCell ref="D144:E144"/>
    <mergeCell ref="D145:E145"/>
    <mergeCell ref="D146:E146"/>
    <mergeCell ref="D269:E269"/>
    <mergeCell ref="D270:E270"/>
    <mergeCell ref="D271:E271"/>
    <mergeCell ref="D272:E272"/>
    <mergeCell ref="D441:E441"/>
    <mergeCell ref="D442:E442"/>
    <mergeCell ref="D443:E443"/>
    <mergeCell ref="D444:E444"/>
    <mergeCell ref="D604:E604"/>
  </mergeCells>
  <conditionalFormatting sqref="K22:K29 K196:K201 K218:K224 R239:R240 K236:K240 K303:K308 K416:K420 K448:K452 K495">
    <cfRule type="expression" dxfId="841" priority="673">
      <formula>J22&gt;I22</formula>
    </cfRule>
    <cfRule type="expression" dxfId="840" priority="674">
      <formula>I22&gt;=J22</formula>
    </cfRule>
  </conditionalFormatting>
  <conditionalFormatting sqref="R23">
    <cfRule type="expression" dxfId="839" priority="671">
      <formula>Q23&gt;P23</formula>
    </cfRule>
    <cfRule type="expression" dxfId="838" priority="672">
      <formula>P23&gt;=Q23</formula>
    </cfRule>
  </conditionalFormatting>
  <conditionalFormatting sqref="Y23">
    <cfRule type="expression" dxfId="837" priority="669">
      <formula>X23&gt;W23</formula>
    </cfRule>
    <cfRule type="expression" dxfId="836" priority="670">
      <formula>W23&gt;=X23</formula>
    </cfRule>
  </conditionalFormatting>
  <conditionalFormatting sqref="K33:K37">
    <cfRule type="expression" dxfId="835" priority="667">
      <formula>J33&gt;I33</formula>
    </cfRule>
    <cfRule type="expression" dxfId="834" priority="668">
      <formula>I33&gt;=J33</formula>
    </cfRule>
  </conditionalFormatting>
  <conditionalFormatting sqref="R34">
    <cfRule type="expression" dxfId="833" priority="665">
      <formula>Q34&gt;P34</formula>
    </cfRule>
    <cfRule type="expression" dxfId="832" priority="666">
      <formula>P34&gt;=Q34</formula>
    </cfRule>
  </conditionalFormatting>
  <conditionalFormatting sqref="Y34">
    <cfRule type="expression" dxfId="831" priority="663">
      <formula>X34&gt;W34</formula>
    </cfRule>
    <cfRule type="expression" dxfId="830" priority="664">
      <formula>W34&gt;=X34</formula>
    </cfRule>
  </conditionalFormatting>
  <conditionalFormatting sqref="Y119">
    <cfRule type="expression" dxfId="829" priority="641">
      <formula>X119&gt;W119</formula>
    </cfRule>
    <cfRule type="expression" dxfId="828" priority="642">
      <formula>W119&gt;=X119</formula>
    </cfRule>
  </conditionalFormatting>
  <conditionalFormatting sqref="R42:R44">
    <cfRule type="expression" dxfId="827" priority="659">
      <formula>Q42&gt;P42</formula>
    </cfRule>
    <cfRule type="expression" dxfId="826" priority="660">
      <formula>P42&gt;=Q42</formula>
    </cfRule>
  </conditionalFormatting>
  <conditionalFormatting sqref="Y42">
    <cfRule type="expression" dxfId="825" priority="657">
      <formula>X42&gt;W42</formula>
    </cfRule>
    <cfRule type="expression" dxfId="824" priority="658">
      <formula>W42&gt;=X42</formula>
    </cfRule>
  </conditionalFormatting>
  <conditionalFormatting sqref="Y50">
    <cfRule type="expression" dxfId="823" priority="655">
      <formula>X50&gt;W50</formula>
    </cfRule>
    <cfRule type="expression" dxfId="822" priority="656">
      <formula>W50&gt;=X50</formula>
    </cfRule>
  </conditionalFormatting>
  <conditionalFormatting sqref="Y61">
    <cfRule type="expression" dxfId="821" priority="653">
      <formula>X61&gt;W61</formula>
    </cfRule>
    <cfRule type="expression" dxfId="820" priority="654">
      <formula>W61&gt;=X61</formula>
    </cfRule>
  </conditionalFormatting>
  <conditionalFormatting sqref="Y69">
    <cfRule type="expression" dxfId="819" priority="651">
      <formula>X69&gt;W69</formula>
    </cfRule>
    <cfRule type="expression" dxfId="818" priority="652">
      <formula>W69&gt;=X69</formula>
    </cfRule>
  </conditionalFormatting>
  <conditionalFormatting sqref="Y79">
    <cfRule type="expression" dxfId="817" priority="649">
      <formula>X79&gt;W79</formula>
    </cfRule>
    <cfRule type="expression" dxfId="816" priority="650">
      <formula>W79&gt;=X79</formula>
    </cfRule>
  </conditionalFormatting>
  <conditionalFormatting sqref="Y92">
    <cfRule type="expression" dxfId="815" priority="647">
      <formula>X92&gt;W92</formula>
    </cfRule>
    <cfRule type="expression" dxfId="814" priority="648">
      <formula>W92&gt;=X92</formula>
    </cfRule>
  </conditionalFormatting>
  <conditionalFormatting sqref="Y101">
    <cfRule type="expression" dxfId="813" priority="645">
      <formula>X101&gt;W101</formula>
    </cfRule>
    <cfRule type="expression" dxfId="812" priority="646">
      <formula>W101&gt;=X101</formula>
    </cfRule>
  </conditionalFormatting>
  <conditionalFormatting sqref="Y109">
    <cfRule type="expression" dxfId="811" priority="643">
      <formula>X109&gt;W109</formula>
    </cfRule>
    <cfRule type="expression" dxfId="810" priority="644">
      <formula>W109&gt;=X109</formula>
    </cfRule>
  </conditionalFormatting>
  <conditionalFormatting sqref="R50">
    <cfRule type="expression" dxfId="809" priority="639">
      <formula>Q50&gt;P50</formula>
    </cfRule>
    <cfRule type="expression" dxfId="808" priority="640">
      <formula>P50&gt;=Q50</formula>
    </cfRule>
  </conditionalFormatting>
  <conditionalFormatting sqref="R61">
    <cfRule type="expression" dxfId="807" priority="637">
      <formula>Q61&gt;P61</formula>
    </cfRule>
    <cfRule type="expression" dxfId="806" priority="638">
      <formula>P61&gt;=Q61</formula>
    </cfRule>
  </conditionalFormatting>
  <conditionalFormatting sqref="R69:R73">
    <cfRule type="expression" dxfId="805" priority="635">
      <formula>Q69&gt;P69</formula>
    </cfRule>
    <cfRule type="expression" dxfId="804" priority="636">
      <formula>P69&gt;=Q69</formula>
    </cfRule>
  </conditionalFormatting>
  <conditionalFormatting sqref="R79">
    <cfRule type="expression" dxfId="803" priority="633">
      <formula>Q79&gt;P79</formula>
    </cfRule>
    <cfRule type="expression" dxfId="802" priority="634">
      <formula>P79&gt;=Q79</formula>
    </cfRule>
  </conditionalFormatting>
  <conditionalFormatting sqref="R92:R94">
    <cfRule type="expression" dxfId="801" priority="631">
      <formula>Q92&gt;P92</formula>
    </cfRule>
    <cfRule type="expression" dxfId="800" priority="632">
      <formula>P92&gt;=Q92</formula>
    </cfRule>
  </conditionalFormatting>
  <conditionalFormatting sqref="R101">
    <cfRule type="expression" dxfId="799" priority="629">
      <formula>Q101&gt;P101</formula>
    </cfRule>
    <cfRule type="expression" dxfId="798" priority="630">
      <formula>P101&gt;=Q101</formula>
    </cfRule>
  </conditionalFormatting>
  <conditionalFormatting sqref="R109:R113">
    <cfRule type="expression" dxfId="797" priority="627">
      <formula>Q109&gt;P109</formula>
    </cfRule>
    <cfRule type="expression" dxfId="796" priority="628">
      <formula>P109&gt;=Q109</formula>
    </cfRule>
  </conditionalFormatting>
  <conditionalFormatting sqref="R119">
    <cfRule type="expression" dxfId="795" priority="625">
      <formula>Q119&gt;P119</formula>
    </cfRule>
    <cfRule type="expression" dxfId="794" priority="626">
      <formula>P119&gt;=Q119</formula>
    </cfRule>
  </conditionalFormatting>
  <conditionalFormatting sqref="R127">
    <cfRule type="expression" dxfId="793" priority="623">
      <formula>Q127&gt;P127</formula>
    </cfRule>
    <cfRule type="expression" dxfId="792" priority="624">
      <formula>P127&gt;=Q127</formula>
    </cfRule>
  </conditionalFormatting>
  <conditionalFormatting sqref="K41:K45">
    <cfRule type="expression" dxfId="791" priority="621">
      <formula>J41&gt;I41</formula>
    </cfRule>
    <cfRule type="expression" dxfId="790" priority="622">
      <formula>I41&gt;=J41</formula>
    </cfRule>
  </conditionalFormatting>
  <conditionalFormatting sqref="K49:K56">
    <cfRule type="expression" dxfId="789" priority="619">
      <formula>J49&gt;I49</formula>
    </cfRule>
    <cfRule type="expression" dxfId="788" priority="620">
      <formula>I49&gt;=J49</formula>
    </cfRule>
  </conditionalFormatting>
  <conditionalFormatting sqref="K60:K64">
    <cfRule type="expression" dxfId="787" priority="617">
      <formula>J60&gt;I60</formula>
    </cfRule>
    <cfRule type="expression" dxfId="786" priority="618">
      <formula>I60&gt;=J60</formula>
    </cfRule>
  </conditionalFormatting>
  <conditionalFormatting sqref="K68:K74">
    <cfRule type="expression" dxfId="785" priority="615">
      <formula>J68&gt;I68</formula>
    </cfRule>
    <cfRule type="expression" dxfId="784" priority="616">
      <formula>I68&gt;=J68</formula>
    </cfRule>
  </conditionalFormatting>
  <conditionalFormatting sqref="K78:K87">
    <cfRule type="expression" dxfId="783" priority="613">
      <formula>J78&gt;I78</formula>
    </cfRule>
    <cfRule type="expression" dxfId="782" priority="614">
      <formula>I78&gt;=J78</formula>
    </cfRule>
  </conditionalFormatting>
  <conditionalFormatting sqref="K91:K96">
    <cfRule type="expression" dxfId="781" priority="611">
      <formula>J91&gt;I91</formula>
    </cfRule>
    <cfRule type="expression" dxfId="780" priority="612">
      <formula>I91&gt;=J91</formula>
    </cfRule>
  </conditionalFormatting>
  <conditionalFormatting sqref="K100:K104">
    <cfRule type="expression" dxfId="779" priority="609">
      <formula>J100&gt;I100</formula>
    </cfRule>
    <cfRule type="expression" dxfId="778" priority="610">
      <formula>I100&gt;=J100</formula>
    </cfRule>
  </conditionalFormatting>
  <conditionalFormatting sqref="K108:K114">
    <cfRule type="expression" dxfId="777" priority="607">
      <formula>J108&gt;I108</formula>
    </cfRule>
    <cfRule type="expression" dxfId="776" priority="608">
      <formula>I108&gt;=J108</formula>
    </cfRule>
  </conditionalFormatting>
  <conditionalFormatting sqref="K118:K122">
    <cfRule type="expression" dxfId="775" priority="605">
      <formula>J118&gt;I118</formula>
    </cfRule>
    <cfRule type="expression" dxfId="774" priority="606">
      <formula>I118&gt;=J118</formula>
    </cfRule>
  </conditionalFormatting>
  <conditionalFormatting sqref="K126:K131">
    <cfRule type="expression" dxfId="773" priority="603">
      <formula>J126&gt;I126</formula>
    </cfRule>
    <cfRule type="expression" dxfId="772" priority="604">
      <formula>I126&gt;=J126</formula>
    </cfRule>
  </conditionalFormatting>
  <conditionalFormatting sqref="K150:K157">
    <cfRule type="expression" dxfId="771" priority="601">
      <formula>J150&gt;I150</formula>
    </cfRule>
    <cfRule type="expression" dxfId="770" priority="602">
      <formula>I150&gt;=J150</formula>
    </cfRule>
  </conditionalFormatting>
  <conditionalFormatting sqref="R151">
    <cfRule type="expression" dxfId="769" priority="599">
      <formula>Q151&gt;P151</formula>
    </cfRule>
    <cfRule type="expression" dxfId="768" priority="600">
      <formula>P151&gt;=Q151</formula>
    </cfRule>
  </conditionalFormatting>
  <conditionalFormatting sqref="Y151">
    <cfRule type="expression" dxfId="767" priority="597">
      <formula>X151&gt;W151</formula>
    </cfRule>
    <cfRule type="expression" dxfId="766" priority="598">
      <formula>W151&gt;=X151</formula>
    </cfRule>
  </conditionalFormatting>
  <conditionalFormatting sqref="K161:K165">
    <cfRule type="expression" dxfId="765" priority="595">
      <formula>J161&gt;I161</formula>
    </cfRule>
    <cfRule type="expression" dxfId="764" priority="596">
      <formula>I161&gt;=J161</formula>
    </cfRule>
  </conditionalFormatting>
  <conditionalFormatting sqref="Y178">
    <cfRule type="expression" dxfId="763" priority="585">
      <formula>X178&gt;W178</formula>
    </cfRule>
    <cfRule type="expression" dxfId="762" priority="586">
      <formula>W178&gt;=X178</formula>
    </cfRule>
  </conditionalFormatting>
  <conditionalFormatting sqref="Y162">
    <cfRule type="expression" dxfId="761" priority="591">
      <formula>X162&gt;W162</formula>
    </cfRule>
    <cfRule type="expression" dxfId="760" priority="592">
      <formula>W162&gt;=X162</formula>
    </cfRule>
  </conditionalFormatting>
  <conditionalFormatting sqref="Y245">
    <cfRule type="expression" dxfId="759" priority="571">
      <formula>X245&gt;W245</formula>
    </cfRule>
    <cfRule type="expression" dxfId="758" priority="572">
      <formula>W245&gt;=X245</formula>
    </cfRule>
  </conditionalFormatting>
  <conditionalFormatting sqref="R172">
    <cfRule type="expression" dxfId="757" priority="589">
      <formula>Q172&gt;P172</formula>
    </cfRule>
    <cfRule type="expression" dxfId="756" priority="590">
      <formula>P172&gt;=Q172</formula>
    </cfRule>
  </conditionalFormatting>
  <conditionalFormatting sqref="Y170">
    <cfRule type="expression" dxfId="755" priority="587">
      <formula>X170&gt;W170</formula>
    </cfRule>
    <cfRule type="expression" dxfId="754" priority="588">
      <formula>W170&gt;=X170</formula>
    </cfRule>
  </conditionalFormatting>
  <conditionalFormatting sqref="Y189">
    <cfRule type="expression" dxfId="753" priority="583">
      <formula>X189&gt;W189</formula>
    </cfRule>
    <cfRule type="expression" dxfId="752" priority="584">
      <formula>W189&gt;=X189</formula>
    </cfRule>
  </conditionalFormatting>
  <conditionalFormatting sqref="Y197">
    <cfRule type="expression" dxfId="751" priority="581">
      <formula>X197&gt;W197</formula>
    </cfRule>
    <cfRule type="expression" dxfId="750" priority="582">
      <formula>W197&gt;=X197</formula>
    </cfRule>
  </conditionalFormatting>
  <conditionalFormatting sqref="Y206">
    <cfRule type="expression" dxfId="749" priority="579">
      <formula>X206&gt;W206</formula>
    </cfRule>
    <cfRule type="expression" dxfId="748" priority="580">
      <formula>W206&gt;=X206</formula>
    </cfRule>
  </conditionalFormatting>
  <conditionalFormatting sqref="Y219">
    <cfRule type="expression" dxfId="747" priority="577">
      <formula>X219&gt;W219</formula>
    </cfRule>
    <cfRule type="expression" dxfId="746" priority="578">
      <formula>W219&gt;=X219</formula>
    </cfRule>
  </conditionalFormatting>
  <conditionalFormatting sqref="Y229">
    <cfRule type="expression" dxfId="745" priority="575">
      <formula>X229&gt;W229</formula>
    </cfRule>
    <cfRule type="expression" dxfId="744" priority="576">
      <formula>W229&gt;=X229</formula>
    </cfRule>
  </conditionalFormatting>
  <conditionalFormatting sqref="Y237">
    <cfRule type="expression" dxfId="743" priority="573">
      <formula>X237&gt;W237</formula>
    </cfRule>
    <cfRule type="expression" dxfId="742" priority="574">
      <formula>W237&gt;=X237</formula>
    </cfRule>
  </conditionalFormatting>
  <conditionalFormatting sqref="R199:R201">
    <cfRule type="expression" dxfId="741" priority="565">
      <formula>Q199&gt;P199</formula>
    </cfRule>
    <cfRule type="expression" dxfId="740" priority="566">
      <formula>P199&gt;=Q199</formula>
    </cfRule>
  </conditionalFormatting>
  <conditionalFormatting sqref="R189">
    <cfRule type="expression" dxfId="739" priority="567">
      <formula>Q189&gt;P189</formula>
    </cfRule>
    <cfRule type="expression" dxfId="738" priority="568">
      <formula>P189&gt;=Q189</formula>
    </cfRule>
  </conditionalFormatting>
  <conditionalFormatting sqref="R206">
    <cfRule type="expression" dxfId="737" priority="563">
      <formula>Q206&gt;P206</formula>
    </cfRule>
    <cfRule type="expression" dxfId="736" priority="564">
      <formula>P206&gt;=Q206</formula>
    </cfRule>
  </conditionalFormatting>
  <conditionalFormatting sqref="R219:R221">
    <cfRule type="expression" dxfId="735" priority="561">
      <formula>Q219&gt;P219</formula>
    </cfRule>
    <cfRule type="expression" dxfId="734" priority="562">
      <formula>P219&gt;=Q219</formula>
    </cfRule>
  </conditionalFormatting>
  <conditionalFormatting sqref="R229">
    <cfRule type="expression" dxfId="733" priority="559">
      <formula>Q229&gt;P229</formula>
    </cfRule>
    <cfRule type="expression" dxfId="732" priority="560">
      <formula>P229&gt;=Q229</formula>
    </cfRule>
  </conditionalFormatting>
  <conditionalFormatting sqref="R237">
    <cfRule type="expression" dxfId="731" priority="557">
      <formula>Q237&gt;P237</formula>
    </cfRule>
    <cfRule type="expression" dxfId="730" priority="558">
      <formula>P237&gt;=Q237</formula>
    </cfRule>
  </conditionalFormatting>
  <conditionalFormatting sqref="R245">
    <cfRule type="expression" dxfId="729" priority="555">
      <formula>Q245&gt;P245</formula>
    </cfRule>
    <cfRule type="expression" dxfId="728" priority="556">
      <formula>P245&gt;=Q245</formula>
    </cfRule>
  </conditionalFormatting>
  <conditionalFormatting sqref="R253">
    <cfRule type="expression" dxfId="727" priority="553">
      <formula>Q253&gt;P253</formula>
    </cfRule>
    <cfRule type="expression" dxfId="726" priority="554">
      <formula>P253&gt;=Q253</formula>
    </cfRule>
  </conditionalFormatting>
  <conditionalFormatting sqref="K169:K173">
    <cfRule type="expression" dxfId="725" priority="551">
      <formula>J169&gt;I169</formula>
    </cfRule>
    <cfRule type="expression" dxfId="724" priority="552">
      <formula>I169&gt;=J169</formula>
    </cfRule>
  </conditionalFormatting>
  <conditionalFormatting sqref="K177:K184">
    <cfRule type="expression" dxfId="723" priority="549">
      <formula>J177&gt;I177</formula>
    </cfRule>
    <cfRule type="expression" dxfId="722" priority="550">
      <formula>I177&gt;=J177</formula>
    </cfRule>
  </conditionalFormatting>
  <conditionalFormatting sqref="K188:K192">
    <cfRule type="expression" dxfId="721" priority="547">
      <formula>J188&gt;I188</formula>
    </cfRule>
    <cfRule type="expression" dxfId="720" priority="548">
      <formula>I188&gt;=J188</formula>
    </cfRule>
  </conditionalFormatting>
  <conditionalFormatting sqref="K205:K214">
    <cfRule type="expression" dxfId="719" priority="543">
      <formula>J205&gt;I205</formula>
    </cfRule>
    <cfRule type="expression" dxfId="718" priority="544">
      <formula>I205&gt;=J205</formula>
    </cfRule>
  </conditionalFormatting>
  <conditionalFormatting sqref="K228:K232">
    <cfRule type="expression" dxfId="717" priority="539">
      <formula>J228&gt;I228</formula>
    </cfRule>
    <cfRule type="expression" dxfId="716" priority="540">
      <formula>I228&gt;=J228</formula>
    </cfRule>
  </conditionalFormatting>
  <conditionalFormatting sqref="K244:K248">
    <cfRule type="expression" dxfId="715" priority="535">
      <formula>J244&gt;I244</formula>
    </cfRule>
    <cfRule type="expression" dxfId="714" priority="536">
      <formula>I244&gt;=J244</formula>
    </cfRule>
  </conditionalFormatting>
  <conditionalFormatting sqref="K252:K257">
    <cfRule type="expression" dxfId="713" priority="533">
      <formula>J252&gt;I252</formula>
    </cfRule>
    <cfRule type="expression" dxfId="712" priority="534">
      <formula>I252&gt;=J252</formula>
    </cfRule>
  </conditionalFormatting>
  <conditionalFormatting sqref="R162:R164">
    <cfRule type="expression" dxfId="711" priority="531">
      <formula>Q162&gt;P162</formula>
    </cfRule>
    <cfRule type="expression" dxfId="710" priority="532">
      <formula>P162&gt;=Q162</formula>
    </cfRule>
  </conditionalFormatting>
  <conditionalFormatting sqref="R170">
    <cfRule type="expression" dxfId="709" priority="529">
      <formula>Q170&gt;P170</formula>
    </cfRule>
    <cfRule type="expression" dxfId="708" priority="530">
      <formula>P170&gt;=Q170</formula>
    </cfRule>
  </conditionalFormatting>
  <conditionalFormatting sqref="R178:R182">
    <cfRule type="expression" dxfId="707" priority="527">
      <formula>Q178&gt;P178</formula>
    </cfRule>
    <cfRule type="expression" dxfId="706" priority="528">
      <formula>P178&gt;=Q178</formula>
    </cfRule>
  </conditionalFormatting>
  <conditionalFormatting sqref="R197">
    <cfRule type="expression" dxfId="705" priority="525">
      <formula>Q197&gt;P197</formula>
    </cfRule>
    <cfRule type="expression" dxfId="704" priority="526">
      <formula>P197&gt;=Q197</formula>
    </cfRule>
  </conditionalFormatting>
  <conditionalFormatting sqref="R222:R223">
    <cfRule type="expression" dxfId="703" priority="523">
      <formula>Q222&gt;P222</formula>
    </cfRule>
    <cfRule type="expression" dxfId="702" priority="524">
      <formula>P222&gt;=Q222</formula>
    </cfRule>
  </conditionalFormatting>
  <conditionalFormatting sqref="K276:K282 K287">
    <cfRule type="expression" dxfId="701" priority="519">
      <formula>J276&gt;I276</formula>
    </cfRule>
    <cfRule type="expression" dxfId="700" priority="520">
      <formula>I276&gt;=J276</formula>
    </cfRule>
  </conditionalFormatting>
  <conditionalFormatting sqref="R277">
    <cfRule type="expression" dxfId="699" priority="517">
      <formula>Q277&gt;P277</formula>
    </cfRule>
    <cfRule type="expression" dxfId="698" priority="518">
      <formula>P277&gt;=Q277</formula>
    </cfRule>
  </conditionalFormatting>
  <conditionalFormatting sqref="Y277">
    <cfRule type="expression" dxfId="697" priority="515">
      <formula>X277&gt;W277</formula>
    </cfRule>
    <cfRule type="expression" dxfId="696" priority="516">
      <formula>W277&gt;=X277</formula>
    </cfRule>
  </conditionalFormatting>
  <conditionalFormatting sqref="R349:R350">
    <cfRule type="expression" dxfId="695" priority="367">
      <formula>Q349&gt;P349</formula>
    </cfRule>
    <cfRule type="expression" dxfId="694" priority="368">
      <formula>P349&gt;=Q349</formula>
    </cfRule>
  </conditionalFormatting>
  <conditionalFormatting sqref="Y363">
    <cfRule type="expression" dxfId="693" priority="363">
      <formula>X363&gt;W363</formula>
    </cfRule>
    <cfRule type="expression" dxfId="692" priority="364">
      <formula>W363&gt;=X363</formula>
    </cfRule>
  </conditionalFormatting>
  <conditionalFormatting sqref="R351:R352">
    <cfRule type="expression" dxfId="691" priority="365">
      <formula>Q351&gt;P351</formula>
    </cfRule>
    <cfRule type="expression" dxfId="690" priority="366">
      <formula>P351&gt;=Q351</formula>
    </cfRule>
  </conditionalFormatting>
  <conditionalFormatting sqref="Y321">
    <cfRule type="expression" dxfId="689" priority="491">
      <formula>X321&gt;W321</formula>
    </cfRule>
    <cfRule type="expression" dxfId="688" priority="492">
      <formula>W321&gt;=X321</formula>
    </cfRule>
  </conditionalFormatting>
  <conditionalFormatting sqref="Y313">
    <cfRule type="expression" dxfId="687" priority="503">
      <formula>X313&gt;W313</formula>
    </cfRule>
    <cfRule type="expression" dxfId="686" priority="504">
      <formula>W313&gt;=X313</formula>
    </cfRule>
  </conditionalFormatting>
  <conditionalFormatting sqref="R363:R365">
    <cfRule type="expression" dxfId="685" priority="359">
      <formula>Q363&gt;P363</formula>
    </cfRule>
    <cfRule type="expression" dxfId="684" priority="360">
      <formula>P363&gt;=Q363</formula>
    </cfRule>
  </conditionalFormatting>
  <conditionalFormatting sqref="K365">
    <cfRule type="expression" dxfId="683" priority="357">
      <formula>J365&gt;I365</formula>
    </cfRule>
    <cfRule type="expression" dxfId="682" priority="358">
      <formula>I365&gt;=J365</formula>
    </cfRule>
  </conditionalFormatting>
  <conditionalFormatting sqref="Y371">
    <cfRule type="expression" dxfId="681" priority="355">
      <formula>X371&gt;W371</formula>
    </cfRule>
    <cfRule type="expression" dxfId="680" priority="356">
      <formula>W371&gt;=X371</formula>
    </cfRule>
  </conditionalFormatting>
  <conditionalFormatting sqref="K370:K372 K374">
    <cfRule type="expression" dxfId="679" priority="353">
      <formula>J370&gt;I370</formula>
    </cfRule>
    <cfRule type="expression" dxfId="678" priority="354">
      <formula>I370&gt;=J370</formula>
    </cfRule>
  </conditionalFormatting>
  <conditionalFormatting sqref="R371:R373">
    <cfRule type="expression" dxfId="677" priority="351">
      <formula>Q371&gt;P371</formula>
    </cfRule>
    <cfRule type="expression" dxfId="676" priority="352">
      <formula>P371&gt;=Q371</formula>
    </cfRule>
  </conditionalFormatting>
  <conditionalFormatting sqref="K378:K380 K382">
    <cfRule type="expression" dxfId="675" priority="345">
      <formula>J378&gt;I378</formula>
    </cfRule>
    <cfRule type="expression" dxfId="674" priority="346">
      <formula>I378&gt;=J378</formula>
    </cfRule>
  </conditionalFormatting>
  <conditionalFormatting sqref="R379:R381">
    <cfRule type="expression" dxfId="673" priority="343">
      <formula>Q379&gt;P379</formula>
    </cfRule>
    <cfRule type="expression" dxfId="672" priority="344">
      <formula>P379&gt;=Q379</formula>
    </cfRule>
  </conditionalFormatting>
  <conditionalFormatting sqref="R425">
    <cfRule type="expression" dxfId="671" priority="475">
      <formula>Q425&gt;P425</formula>
    </cfRule>
    <cfRule type="expression" dxfId="670" priority="476">
      <formula>P425&gt;=Q425</formula>
    </cfRule>
  </conditionalFormatting>
  <conditionalFormatting sqref="K381">
    <cfRule type="expression" dxfId="669" priority="341">
      <formula>J381&gt;I381</formula>
    </cfRule>
    <cfRule type="expression" dxfId="668" priority="342">
      <formula>I381&gt;=J381</formula>
    </cfRule>
  </conditionalFormatting>
  <conditionalFormatting sqref="Y387">
    <cfRule type="expression" dxfId="667" priority="339">
      <formula>X387&gt;W387</formula>
    </cfRule>
    <cfRule type="expression" dxfId="666" priority="340">
      <formula>W387&gt;=X387</formula>
    </cfRule>
  </conditionalFormatting>
  <conditionalFormatting sqref="K386:K388 K390">
    <cfRule type="expression" dxfId="665" priority="337">
      <formula>J386&gt;I386</formula>
    </cfRule>
    <cfRule type="expression" dxfId="664" priority="338">
      <formula>I386&gt;=J386</formula>
    </cfRule>
  </conditionalFormatting>
  <conditionalFormatting sqref="Y395">
    <cfRule type="expression" dxfId="663" priority="329">
      <formula>X395&gt;W395</formula>
    </cfRule>
    <cfRule type="expression" dxfId="662" priority="330">
      <formula>W395&gt;=X395</formula>
    </cfRule>
  </conditionalFormatting>
  <conditionalFormatting sqref="K394:K400 K403">
    <cfRule type="expression" dxfId="661" priority="331">
      <formula>J394&gt;I394</formula>
    </cfRule>
    <cfRule type="expression" dxfId="660" priority="332">
      <formula>I394&gt;=J394</formula>
    </cfRule>
  </conditionalFormatting>
  <conditionalFormatting sqref="K424:K429">
    <cfRule type="expression" dxfId="659" priority="461">
      <formula>J424&gt;I424</formula>
    </cfRule>
    <cfRule type="expression" dxfId="658" priority="462">
      <formula>I424&gt;=J424</formula>
    </cfRule>
  </conditionalFormatting>
  <conditionalFormatting sqref="K312:K316">
    <cfRule type="expression" dxfId="657" priority="469">
      <formula>J312&gt;I312</formula>
    </cfRule>
    <cfRule type="expression" dxfId="656" priority="470">
      <formula>I312&gt;=J312</formula>
    </cfRule>
  </conditionalFormatting>
  <conditionalFormatting sqref="K401:K402">
    <cfRule type="expression" dxfId="655" priority="325">
      <formula>J401&gt;I401</formula>
    </cfRule>
    <cfRule type="expression" dxfId="654" priority="326">
      <formula>I401&gt;=J401</formula>
    </cfRule>
  </conditionalFormatting>
  <conditionalFormatting sqref="K285:K286">
    <cfRule type="expression" dxfId="653" priority="449">
      <formula>J285&gt;I285</formula>
    </cfRule>
    <cfRule type="expression" dxfId="652" priority="450">
      <formula>I285&gt;=J285</formula>
    </cfRule>
  </conditionalFormatting>
  <conditionalFormatting sqref="K320:K324">
    <cfRule type="expression" dxfId="651" priority="463">
      <formula>J320&gt;I320</formula>
    </cfRule>
    <cfRule type="expression" dxfId="650" priority="464">
      <formula>I320&gt;=J320</formula>
    </cfRule>
  </conditionalFormatting>
  <conditionalFormatting sqref="R408">
    <cfRule type="expression" dxfId="649" priority="309">
      <formula>Q408&gt;P408</formula>
    </cfRule>
    <cfRule type="expression" dxfId="648" priority="310">
      <formula>P408&gt;=Q408</formula>
    </cfRule>
  </conditionalFormatting>
  <conditionalFormatting sqref="Y408">
    <cfRule type="expression" dxfId="647" priority="313">
      <formula>X408&gt;W408</formula>
    </cfRule>
    <cfRule type="expression" dxfId="646" priority="314">
      <formula>W408&gt;=X408</formula>
    </cfRule>
  </conditionalFormatting>
  <conditionalFormatting sqref="K407:K412">
    <cfRule type="expression" dxfId="645" priority="315">
      <formula>J407&gt;I407</formula>
    </cfRule>
    <cfRule type="expression" dxfId="644" priority="316">
      <formula>I407&gt;=J407</formula>
    </cfRule>
  </conditionalFormatting>
  <conditionalFormatting sqref="R412">
    <cfRule type="expression" dxfId="643" priority="311">
      <formula>Q412&gt;P412</formula>
    </cfRule>
    <cfRule type="expression" dxfId="642" priority="312">
      <formula>P412&gt;=Q412</formula>
    </cfRule>
  </conditionalFormatting>
  <conditionalFormatting sqref="R292:R294 R296:R297">
    <cfRule type="expression" dxfId="641" priority="439">
      <formula>Q292&gt;P292</formula>
    </cfRule>
    <cfRule type="expression" dxfId="640" priority="440">
      <formula>P292&gt;=Q292</formula>
    </cfRule>
  </conditionalFormatting>
  <conditionalFormatting sqref="Y304">
    <cfRule type="expression" dxfId="639" priority="431">
      <formula>X304&gt;W304</formula>
    </cfRule>
    <cfRule type="expression" dxfId="638" priority="432">
      <formula>W304&gt;=X304</formula>
    </cfRule>
  </conditionalFormatting>
  <conditionalFormatting sqref="K283:K284">
    <cfRule type="expression" dxfId="637" priority="447">
      <formula>J283&gt;I283</formula>
    </cfRule>
    <cfRule type="expression" dxfId="636" priority="448">
      <formula>I283&gt;=J283</formula>
    </cfRule>
  </conditionalFormatting>
  <conditionalFormatting sqref="R278:R279">
    <cfRule type="expression" dxfId="635" priority="445">
      <formula>Q278&gt;P278</formula>
    </cfRule>
    <cfRule type="expression" dxfId="634" priority="446">
      <formula>P278&gt;=Q278</formula>
    </cfRule>
  </conditionalFormatting>
  <conditionalFormatting sqref="Y292">
    <cfRule type="expression" dxfId="633" priority="443">
      <formula>X292&gt;W292</formula>
    </cfRule>
    <cfRule type="expression" dxfId="632" priority="444">
      <formula>W292&gt;=X292</formula>
    </cfRule>
  </conditionalFormatting>
  <conditionalFormatting sqref="K291:K294 K296:K297 K299">
    <cfRule type="expression" dxfId="631" priority="441">
      <formula>J291&gt;I291</formula>
    </cfRule>
    <cfRule type="expression" dxfId="630" priority="442">
      <formula>I291&gt;=J291</formula>
    </cfRule>
  </conditionalFormatting>
  <conditionalFormatting sqref="R313:R315">
    <cfRule type="expression" dxfId="629" priority="421">
      <formula>Q313&gt;P313</formula>
    </cfRule>
    <cfRule type="expression" dxfId="628" priority="422">
      <formula>P313&gt;=Q313</formula>
    </cfRule>
  </conditionalFormatting>
  <conditionalFormatting sqref="K295">
    <cfRule type="expression" dxfId="627" priority="437">
      <formula>J295&gt;I295</formula>
    </cfRule>
    <cfRule type="expression" dxfId="626" priority="438">
      <formula>I295&gt;=J295</formula>
    </cfRule>
  </conditionalFormatting>
  <conditionalFormatting sqref="K298">
    <cfRule type="expression" dxfId="625" priority="433">
      <formula>J298&gt;I298</formula>
    </cfRule>
    <cfRule type="expression" dxfId="624" priority="434">
      <formula>I298&gt;=J298</formula>
    </cfRule>
  </conditionalFormatting>
  <conditionalFormatting sqref="R305:R306">
    <cfRule type="expression" dxfId="623" priority="423">
      <formula>Q305&gt;P305</formula>
    </cfRule>
    <cfRule type="expression" dxfId="622" priority="424">
      <formula>P305&gt;=Q305</formula>
    </cfRule>
  </conditionalFormatting>
  <conditionalFormatting sqref="R304">
    <cfRule type="expression" dxfId="621" priority="425">
      <formula>Q304&gt;P304</formula>
    </cfRule>
    <cfRule type="expression" dxfId="620" priority="426">
      <formula>P304&gt;=Q304</formula>
    </cfRule>
  </conditionalFormatting>
  <conditionalFormatting sqref="R308">
    <cfRule type="expression" dxfId="619" priority="427">
      <formula>Q308&gt;P308</formula>
    </cfRule>
    <cfRule type="expression" dxfId="618" priority="428">
      <formula>P308&gt;=Q308</formula>
    </cfRule>
  </conditionalFormatting>
  <conditionalFormatting sqref="Y329">
    <cfRule type="expression" dxfId="617" priority="415">
      <formula>X329&gt;W329</formula>
    </cfRule>
    <cfRule type="expression" dxfId="616" priority="416">
      <formula>W329&gt;=X329</formula>
    </cfRule>
  </conditionalFormatting>
  <conditionalFormatting sqref="R332:R333">
    <cfRule type="expression" dxfId="615" priority="405">
      <formula>Q332&gt;P332</formula>
    </cfRule>
    <cfRule type="expression" dxfId="614" priority="406">
      <formula>P332&gt;=Q332</formula>
    </cfRule>
  </conditionalFormatting>
  <conditionalFormatting sqref="R321:R323">
    <cfRule type="expression" dxfId="613" priority="419">
      <formula>Q321&gt;P321</formula>
    </cfRule>
    <cfRule type="expression" dxfId="612" priority="420">
      <formula>P321&gt;=Q321</formula>
    </cfRule>
  </conditionalFormatting>
  <conditionalFormatting sqref="K328:K331 K333:K334">
    <cfRule type="expression" dxfId="611" priority="417">
      <formula>J328&gt;I328</formula>
    </cfRule>
    <cfRule type="expression" dxfId="610" priority="418">
      <formula>I328&gt;=J328</formula>
    </cfRule>
  </conditionalFormatting>
  <conditionalFormatting sqref="K332">
    <cfRule type="expression" dxfId="609" priority="407">
      <formula>J332&gt;I332</formula>
    </cfRule>
    <cfRule type="expression" dxfId="608" priority="408">
      <formula>I332&gt;=J332</formula>
    </cfRule>
  </conditionalFormatting>
  <conditionalFormatting sqref="R329">
    <cfRule type="expression" dxfId="607" priority="411">
      <formula>Q329&gt;P329</formula>
    </cfRule>
    <cfRule type="expression" dxfId="606" priority="412">
      <formula>P329&gt;=Q329</formula>
    </cfRule>
  </conditionalFormatting>
  <conditionalFormatting sqref="K338:K343">
    <cfRule type="expression" dxfId="605" priority="403">
      <formula>J338&gt;I338</formula>
    </cfRule>
    <cfRule type="expression" dxfId="604" priority="404">
      <formula>I338&gt;=J338</formula>
    </cfRule>
  </conditionalFormatting>
  <conditionalFormatting sqref="R330:R331">
    <cfRule type="expression" dxfId="603" priority="409">
      <formula>Q330&gt;P330</formula>
    </cfRule>
    <cfRule type="expression" dxfId="602" priority="410">
      <formula>P330&gt;=Q330</formula>
    </cfRule>
  </conditionalFormatting>
  <conditionalFormatting sqref="R343">
    <cfRule type="expression" dxfId="601" priority="399">
      <formula>Q343&gt;P343</formula>
    </cfRule>
    <cfRule type="expression" dxfId="600" priority="400">
      <formula>P343&gt;=Q343</formula>
    </cfRule>
  </conditionalFormatting>
  <conditionalFormatting sqref="R339">
    <cfRule type="expression" dxfId="599" priority="397">
      <formula>Q339&gt;P339</formula>
    </cfRule>
    <cfRule type="expression" dxfId="598" priority="398">
      <formula>P339&gt;=Q339</formula>
    </cfRule>
  </conditionalFormatting>
  <conditionalFormatting sqref="R483:R485">
    <cfRule type="expression" dxfId="597" priority="249">
      <formula>Q483&gt;P483</formula>
    </cfRule>
    <cfRule type="expression" dxfId="596" priority="250">
      <formula>P483&gt;=Q483</formula>
    </cfRule>
  </conditionalFormatting>
  <conditionalFormatting sqref="Y339">
    <cfRule type="expression" dxfId="595" priority="401">
      <formula>X339&gt;W339</formula>
    </cfRule>
    <cfRule type="expression" dxfId="594" priority="402">
      <formula>W339&gt;=X339</formula>
    </cfRule>
  </conditionalFormatting>
  <conditionalFormatting sqref="K490:K493">
    <cfRule type="expression" dxfId="593" priority="247">
      <formula>J490&gt;I490</formula>
    </cfRule>
    <cfRule type="expression" dxfId="592" priority="248">
      <formula>I490&gt;=J490</formula>
    </cfRule>
  </conditionalFormatting>
  <conditionalFormatting sqref="R340:R341">
    <cfRule type="expression" dxfId="591" priority="395">
      <formula>Q340&gt;P340</formula>
    </cfRule>
    <cfRule type="expression" dxfId="590" priority="396">
      <formula>P340&gt;=Q340</formula>
    </cfRule>
  </conditionalFormatting>
  <conditionalFormatting sqref="Y491">
    <cfRule type="expression" dxfId="589" priority="245">
      <formula>X491&gt;W491</formula>
    </cfRule>
    <cfRule type="expression" dxfId="588" priority="246">
      <formula>W491&gt;=X491</formula>
    </cfRule>
  </conditionalFormatting>
  <conditionalFormatting sqref="K354:K355">
    <cfRule type="expression" dxfId="587" priority="373">
      <formula>J354&gt;I354</formula>
    </cfRule>
    <cfRule type="expression" dxfId="586" priority="374">
      <formula>I354&gt;=J354</formula>
    </cfRule>
  </conditionalFormatting>
  <conditionalFormatting sqref="K356:K357">
    <cfRule type="expression" dxfId="585" priority="375">
      <formula>J356&gt;I356</formula>
    </cfRule>
    <cfRule type="expression" dxfId="584" priority="376">
      <formula>I356&gt;=J356</formula>
    </cfRule>
  </conditionalFormatting>
  <conditionalFormatting sqref="K494">
    <cfRule type="expression" dxfId="583" priority="239">
      <formula>J494&gt;I494</formula>
    </cfRule>
    <cfRule type="expression" dxfId="582" priority="240">
      <formula>I494&gt;=J494</formula>
    </cfRule>
  </conditionalFormatting>
  <conditionalFormatting sqref="K347:K353 K358">
    <cfRule type="expression" dxfId="581" priority="381">
      <formula>J347&gt;I347</formula>
    </cfRule>
    <cfRule type="expression" dxfId="580" priority="382">
      <formula>I347&gt;=J347</formula>
    </cfRule>
  </conditionalFormatting>
  <conditionalFormatting sqref="Y348">
    <cfRule type="expression" dxfId="579" priority="377">
      <formula>X348&gt;W348</formula>
    </cfRule>
    <cfRule type="expression" dxfId="578" priority="378">
      <formula>W348&gt;=X348</formula>
    </cfRule>
  </conditionalFormatting>
  <conditionalFormatting sqref="K373">
    <cfRule type="expression" dxfId="577" priority="349">
      <formula>J373&gt;I373</formula>
    </cfRule>
    <cfRule type="expression" dxfId="576" priority="350">
      <formula>I373&gt;=J373</formula>
    </cfRule>
  </conditionalFormatting>
  <conditionalFormatting sqref="R348">
    <cfRule type="expression" dxfId="575" priority="369">
      <formula>Q348&gt;P348</formula>
    </cfRule>
    <cfRule type="expression" dxfId="574" priority="370">
      <formula>P348&gt;=Q348</formula>
    </cfRule>
  </conditionalFormatting>
  <conditionalFormatting sqref="K362:K364 K366">
    <cfRule type="expression" dxfId="573" priority="361">
      <formula>J362&gt;I362</formula>
    </cfRule>
    <cfRule type="expression" dxfId="572" priority="362">
      <formula>I362&gt;=J362</formula>
    </cfRule>
  </conditionalFormatting>
  <conditionalFormatting sqref="K389">
    <cfRule type="expression" dxfId="571" priority="333">
      <formula>J389&gt;I389</formula>
    </cfRule>
    <cfRule type="expression" dxfId="570" priority="334">
      <formula>I389&gt;=J389</formula>
    </cfRule>
  </conditionalFormatting>
  <conditionalFormatting sqref="Y379">
    <cfRule type="expression" dxfId="569" priority="347">
      <formula>X379&gt;W379</formula>
    </cfRule>
    <cfRule type="expression" dxfId="568" priority="348">
      <formula>W379&gt;=X379</formula>
    </cfRule>
  </conditionalFormatting>
  <conditionalFormatting sqref="R399">
    <cfRule type="expression" dxfId="567" priority="319">
      <formula>Q399&gt;P399</formula>
    </cfRule>
    <cfRule type="expression" dxfId="566" priority="320">
      <formula>P399&gt;=Q399</formula>
    </cfRule>
  </conditionalFormatting>
  <conditionalFormatting sqref="R387 R389">
    <cfRule type="expression" dxfId="565" priority="335">
      <formula>Q387&gt;P387</formula>
    </cfRule>
    <cfRule type="expression" dxfId="564" priority="336">
      <formula>P387&gt;=Q387</formula>
    </cfRule>
  </conditionalFormatting>
  <conditionalFormatting sqref="R395:R397">
    <cfRule type="expression" dxfId="563" priority="317">
      <formula>Q395&gt;P395</formula>
    </cfRule>
    <cfRule type="expression" dxfId="562" priority="318">
      <formula>P395&gt;=Q395</formula>
    </cfRule>
  </conditionalFormatting>
  <conditionalFormatting sqref="R409:R410">
    <cfRule type="expression" dxfId="561" priority="307">
      <formula>Q409&gt;P409</formula>
    </cfRule>
    <cfRule type="expression" dxfId="560" priority="308">
      <formula>P409&gt;=Q409</formula>
    </cfRule>
  </conditionalFormatting>
  <conditionalFormatting sqref="R417">
    <cfRule type="expression" dxfId="559" priority="299">
      <formula>Q417&gt;P417</formula>
    </cfRule>
    <cfRule type="expression" dxfId="558" priority="300">
      <formula>P417&gt;=Q417</formula>
    </cfRule>
  </conditionalFormatting>
  <conditionalFormatting sqref="R418:R419">
    <cfRule type="expression" dxfId="557" priority="297">
      <formula>Q418&gt;P418</formula>
    </cfRule>
    <cfRule type="expression" dxfId="556" priority="298">
      <formula>P418&gt;=Q418</formula>
    </cfRule>
  </conditionalFormatting>
  <conditionalFormatting sqref="Y417">
    <cfRule type="expression" dxfId="555" priority="303">
      <formula>X417&gt;W417</formula>
    </cfRule>
    <cfRule type="expression" dxfId="554" priority="304">
      <formula>W417&gt;=X417</formula>
    </cfRule>
  </conditionalFormatting>
  <conditionalFormatting sqref="K464:K470 K579:K583">
    <cfRule type="expression" dxfId="553" priority="295">
      <formula>J464&gt;I464</formula>
    </cfRule>
    <cfRule type="expression" dxfId="552" priority="296">
      <formula>I464&gt;=J464</formula>
    </cfRule>
  </conditionalFormatting>
  <conditionalFormatting sqref="R449">
    <cfRule type="expression" dxfId="551" priority="291">
      <formula>Q449&gt;P449</formula>
    </cfRule>
    <cfRule type="expression" dxfId="550" priority="292">
      <formula>P449&gt;=Q449</formula>
    </cfRule>
  </conditionalFormatting>
  <conditionalFormatting sqref="Y449">
    <cfRule type="expression" dxfId="549" priority="289">
      <formula>X449&gt;W449</formula>
    </cfRule>
    <cfRule type="expression" dxfId="548" priority="290">
      <formula>W449&gt;=X449</formula>
    </cfRule>
  </conditionalFormatting>
  <conditionalFormatting sqref="Y483">
    <cfRule type="expression" dxfId="547" priority="285">
      <formula>X483&gt;W483</formula>
    </cfRule>
    <cfRule type="expression" dxfId="546" priority="286">
      <formula>W483&gt;=X483</formula>
    </cfRule>
  </conditionalFormatting>
  <conditionalFormatting sqref="Y475">
    <cfRule type="expression" dxfId="545" priority="287">
      <formula>X475&gt;W475</formula>
    </cfRule>
    <cfRule type="expression" dxfId="544" priority="288">
      <formula>W475&gt;=X475</formula>
    </cfRule>
  </conditionalFormatting>
  <conditionalFormatting sqref="R588">
    <cfRule type="expression" dxfId="543" priority="283">
      <formula>Q588&gt;P588</formula>
    </cfRule>
    <cfRule type="expression" dxfId="542" priority="284">
      <formula>P588&gt;=Q588</formula>
    </cfRule>
  </conditionalFormatting>
  <conditionalFormatting sqref="K587:K592">
    <cfRule type="expression" dxfId="541" priority="277">
      <formula>J587&gt;I587</formula>
    </cfRule>
    <cfRule type="expression" dxfId="540" priority="278">
      <formula>I587&gt;=J587</formula>
    </cfRule>
  </conditionalFormatting>
  <conditionalFormatting sqref="K474:K478">
    <cfRule type="expression" dxfId="539" priority="281">
      <formula>J474&gt;I474</formula>
    </cfRule>
    <cfRule type="expression" dxfId="538" priority="282">
      <formula>I474&gt;=J474</formula>
    </cfRule>
  </conditionalFormatting>
  <conditionalFormatting sqref="K482:K486">
    <cfRule type="expression" dxfId="537" priority="279">
      <formula>J482&gt;I482</formula>
    </cfRule>
    <cfRule type="expression" dxfId="536" priority="280">
      <formula>I482&gt;=J482</formula>
    </cfRule>
  </conditionalFormatting>
  <conditionalFormatting sqref="R457:R459">
    <cfRule type="expression" dxfId="535" priority="265">
      <formula>Q457&gt;P457</formula>
    </cfRule>
    <cfRule type="expression" dxfId="534" priority="266">
      <formula>P457&gt;=Q457</formula>
    </cfRule>
  </conditionalFormatting>
  <conditionalFormatting sqref="Y465">
    <cfRule type="expression" dxfId="533" priority="259">
      <formula>X465&gt;W465</formula>
    </cfRule>
    <cfRule type="expression" dxfId="532" priority="260">
      <formula>W465&gt;=X465</formula>
    </cfRule>
  </conditionalFormatting>
  <conditionalFormatting sqref="R450:R451">
    <cfRule type="expression" dxfId="531" priority="271">
      <formula>Q450&gt;P450</formula>
    </cfRule>
    <cfRule type="expression" dxfId="530" priority="272">
      <formula>P450&gt;=Q450</formula>
    </cfRule>
  </conditionalFormatting>
  <conditionalFormatting sqref="Y457">
    <cfRule type="expression" dxfId="529" priority="269">
      <formula>X457&gt;W457</formula>
    </cfRule>
    <cfRule type="expression" dxfId="528" priority="270">
      <formula>W457&gt;=X457</formula>
    </cfRule>
  </conditionalFormatting>
  <conditionalFormatting sqref="K456:K459">
    <cfRule type="expression" dxfId="527" priority="267">
      <formula>J456&gt;I456</formula>
    </cfRule>
    <cfRule type="expression" dxfId="526" priority="268">
      <formula>I456&gt;=J456</formula>
    </cfRule>
  </conditionalFormatting>
  <conditionalFormatting sqref="K460">
    <cfRule type="expression" dxfId="525" priority="263">
      <formula>J460&gt;I460</formula>
    </cfRule>
    <cfRule type="expression" dxfId="524" priority="264">
      <formula>I460&gt;=J460</formula>
    </cfRule>
  </conditionalFormatting>
  <conditionalFormatting sqref="R470">
    <cfRule type="expression" dxfId="523" priority="257">
      <formula>Q470&gt;P470</formula>
    </cfRule>
    <cfRule type="expression" dxfId="522" priority="258">
      <formula>P470&gt;=Q470</formula>
    </cfRule>
  </conditionalFormatting>
  <conditionalFormatting sqref="R495">
    <cfRule type="expression" dxfId="521" priority="237">
      <formula>Q495&gt;P495</formula>
    </cfRule>
    <cfRule type="expression" dxfId="520" priority="238">
      <formula>P495&gt;=Q495</formula>
    </cfRule>
  </conditionalFormatting>
  <conditionalFormatting sqref="K499:K504">
    <cfRule type="expression" dxfId="519" priority="235">
      <formula>J499&gt;I499</formula>
    </cfRule>
    <cfRule type="expression" dxfId="518" priority="236">
      <formula>I499&gt;=J499</formula>
    </cfRule>
  </conditionalFormatting>
  <conditionalFormatting sqref="R504">
    <cfRule type="expression" dxfId="517" priority="231">
      <formula>Q504&gt;P504</formula>
    </cfRule>
    <cfRule type="expression" dxfId="516" priority="232">
      <formula>P504&gt;=Q504</formula>
    </cfRule>
  </conditionalFormatting>
  <conditionalFormatting sqref="R500">
    <cfRule type="expression" dxfId="515" priority="229">
      <formula>Q500&gt;P500</formula>
    </cfRule>
    <cfRule type="expression" dxfId="514" priority="230">
      <formula>P500&gt;=Q500</formula>
    </cfRule>
  </conditionalFormatting>
  <conditionalFormatting sqref="Y500">
    <cfRule type="expression" dxfId="513" priority="233">
      <formula>X500&gt;W500</formula>
    </cfRule>
    <cfRule type="expression" dxfId="512" priority="234">
      <formula>W500&gt;=X500</formula>
    </cfRule>
  </conditionalFormatting>
  <conditionalFormatting sqref="R501:R502">
    <cfRule type="expression" dxfId="511" priority="227">
      <formula>Q501&gt;P501</formula>
    </cfRule>
    <cfRule type="expression" dxfId="510" priority="228">
      <formula>P501&gt;=Q501</formula>
    </cfRule>
  </conditionalFormatting>
  <conditionalFormatting sqref="K515:K516">
    <cfRule type="expression" dxfId="509" priority="219">
      <formula>J515&gt;I515</formula>
    </cfRule>
    <cfRule type="expression" dxfId="508" priority="220">
      <formula>I515&gt;=J515</formula>
    </cfRule>
  </conditionalFormatting>
  <conditionalFormatting sqref="K517:K518">
    <cfRule type="expression" dxfId="507" priority="221">
      <formula>J517&gt;I517</formula>
    </cfRule>
    <cfRule type="expression" dxfId="506" priority="222">
      <formula>I517&gt;=J517</formula>
    </cfRule>
  </conditionalFormatting>
  <conditionalFormatting sqref="Y524">
    <cfRule type="expression" dxfId="505" priority="211">
      <formula>X524&gt;W524</formula>
    </cfRule>
    <cfRule type="expression" dxfId="504" priority="212">
      <formula>W524&gt;=X524</formula>
    </cfRule>
  </conditionalFormatting>
  <conditionalFormatting sqref="K508:K514 K519">
    <cfRule type="expression" dxfId="503" priority="225">
      <formula>J508&gt;I508</formula>
    </cfRule>
    <cfRule type="expression" dxfId="502" priority="226">
      <formula>I508&gt;=J508</formula>
    </cfRule>
  </conditionalFormatting>
  <conditionalFormatting sqref="R513">
    <cfRule type="expression" dxfId="501" priority="213">
      <formula>Q513&gt;P513</formula>
    </cfRule>
    <cfRule type="expression" dxfId="500" priority="214">
      <formula>P513&gt;=Q513</formula>
    </cfRule>
  </conditionalFormatting>
  <conditionalFormatting sqref="Y509">
    <cfRule type="expression" dxfId="499" priority="223">
      <formula>X509&gt;W509</formula>
    </cfRule>
    <cfRule type="expression" dxfId="498" priority="224">
      <formula>W509&gt;=X509</formula>
    </cfRule>
  </conditionalFormatting>
  <conditionalFormatting sqref="K526">
    <cfRule type="expression" dxfId="497" priority="205">
      <formula>J526&gt;I526</formula>
    </cfRule>
    <cfRule type="expression" dxfId="496" priority="206">
      <formula>I526&gt;=J526</formula>
    </cfRule>
  </conditionalFormatting>
  <conditionalFormatting sqref="K534">
    <cfRule type="expression" dxfId="495" priority="197">
      <formula>J534&gt;I534</formula>
    </cfRule>
    <cfRule type="expression" dxfId="494" priority="198">
      <formula>I534&gt;=J534</formula>
    </cfRule>
  </conditionalFormatting>
  <conditionalFormatting sqref="R509">
    <cfRule type="expression" dxfId="493" priority="217">
      <formula>Q509&gt;P509</formula>
    </cfRule>
    <cfRule type="expression" dxfId="492" priority="218">
      <formula>P509&gt;=Q509</formula>
    </cfRule>
  </conditionalFormatting>
  <conditionalFormatting sqref="R510:R511">
    <cfRule type="expression" dxfId="491" priority="215">
      <formula>Q510&gt;P510</formula>
    </cfRule>
    <cfRule type="expression" dxfId="490" priority="216">
      <formula>P510&gt;=Q510</formula>
    </cfRule>
  </conditionalFormatting>
  <conditionalFormatting sqref="K542">
    <cfRule type="expression" dxfId="489" priority="189">
      <formula>J542&gt;I542</formula>
    </cfRule>
    <cfRule type="expression" dxfId="488" priority="190">
      <formula>I542&gt;=J542</formula>
    </cfRule>
  </conditionalFormatting>
  <conditionalFormatting sqref="K531:K533 K535">
    <cfRule type="expression" dxfId="487" priority="201">
      <formula>J531&gt;I531</formula>
    </cfRule>
    <cfRule type="expression" dxfId="486" priority="202">
      <formula>I531&gt;=J531</formula>
    </cfRule>
  </conditionalFormatting>
  <conditionalFormatting sqref="K523:K525 K527">
    <cfRule type="expression" dxfId="485" priority="209">
      <formula>J523&gt;I523</formula>
    </cfRule>
    <cfRule type="expression" dxfId="484" priority="210">
      <formula>I523&gt;=J523</formula>
    </cfRule>
  </conditionalFormatting>
  <conditionalFormatting sqref="R524:R526">
    <cfRule type="expression" dxfId="483" priority="207">
      <formula>Q524&gt;P524</formula>
    </cfRule>
    <cfRule type="expression" dxfId="482" priority="208">
      <formula>P524&gt;=Q524</formula>
    </cfRule>
  </conditionalFormatting>
  <conditionalFormatting sqref="K562:K563">
    <cfRule type="expression" dxfId="481" priority="175">
      <formula>J562&gt;I562</formula>
    </cfRule>
    <cfRule type="expression" dxfId="480" priority="176">
      <formula>I562&gt;=J562</formula>
    </cfRule>
  </conditionalFormatting>
  <conditionalFormatting sqref="K568:K572 K575">
    <cfRule type="expression" dxfId="479" priority="169">
      <formula>J568&gt;I568</formula>
    </cfRule>
    <cfRule type="expression" dxfId="478" priority="170">
      <formula>I568&gt;=J568</formula>
    </cfRule>
  </conditionalFormatting>
  <conditionalFormatting sqref="Y532">
    <cfRule type="expression" dxfId="477" priority="203">
      <formula>X532&gt;W532</formula>
    </cfRule>
    <cfRule type="expression" dxfId="476" priority="204">
      <formula>W532&gt;=X532</formula>
    </cfRule>
  </conditionalFormatting>
  <conditionalFormatting sqref="R532 R534">
    <cfRule type="expression" dxfId="475" priority="199">
      <formula>Q532&gt;P532</formula>
    </cfRule>
    <cfRule type="expression" dxfId="474" priority="200">
      <formula>P532&gt;=Q532</formula>
    </cfRule>
  </conditionalFormatting>
  <conditionalFormatting sqref="K550">
    <cfRule type="expression" dxfId="473" priority="181">
      <formula>J550&gt;I550</formula>
    </cfRule>
    <cfRule type="expression" dxfId="472" priority="182">
      <formula>I550&gt;=J550</formula>
    </cfRule>
  </conditionalFormatting>
  <conditionalFormatting sqref="Y540">
    <cfRule type="expression" dxfId="471" priority="195">
      <formula>X540&gt;W540</formula>
    </cfRule>
    <cfRule type="expression" dxfId="470" priority="196">
      <formula>W540&gt;=X540</formula>
    </cfRule>
  </conditionalFormatting>
  <conditionalFormatting sqref="K539:K541 K543">
    <cfRule type="expression" dxfId="469" priority="193">
      <formula>J539&gt;I539</formula>
    </cfRule>
    <cfRule type="expression" dxfId="468" priority="194">
      <formula>I539&gt;=J539</formula>
    </cfRule>
  </conditionalFormatting>
  <conditionalFormatting sqref="R540:R542">
    <cfRule type="expression" dxfId="467" priority="191">
      <formula>Q540&gt;P540</formula>
    </cfRule>
    <cfRule type="expression" dxfId="466" priority="192">
      <formula>P540&gt;=Q540</formula>
    </cfRule>
  </conditionalFormatting>
  <conditionalFormatting sqref="R560">
    <cfRule type="expression" dxfId="465" priority="173">
      <formula>Q560&gt;P560</formula>
    </cfRule>
    <cfRule type="expression" dxfId="464" priority="174">
      <formula>P560&gt;=Q560</formula>
    </cfRule>
  </conditionalFormatting>
  <conditionalFormatting sqref="Y548">
    <cfRule type="expression" dxfId="463" priority="187">
      <formula>X548&gt;W548</formula>
    </cfRule>
    <cfRule type="expression" dxfId="462" priority="188">
      <formula>W548&gt;=X548</formula>
    </cfRule>
  </conditionalFormatting>
  <conditionalFormatting sqref="K547:K549 K551">
    <cfRule type="expression" dxfId="461" priority="185">
      <formula>J547&gt;I547</formula>
    </cfRule>
    <cfRule type="expression" dxfId="460" priority="186">
      <formula>I547&gt;=J547</formula>
    </cfRule>
  </conditionalFormatting>
  <conditionalFormatting sqref="K555:K561 K564">
    <cfRule type="expression" dxfId="459" priority="179">
      <formula>J555&gt;I555</formula>
    </cfRule>
    <cfRule type="expression" dxfId="458" priority="180">
      <formula>I555&gt;=J555</formula>
    </cfRule>
  </conditionalFormatting>
  <conditionalFormatting sqref="Y556">
    <cfRule type="expression" dxfId="457" priority="177">
      <formula>X556&gt;W556</formula>
    </cfRule>
    <cfRule type="expression" dxfId="456" priority="178">
      <formula>W556&gt;=X556</formula>
    </cfRule>
  </conditionalFormatting>
  <conditionalFormatting sqref="Y569">
    <cfRule type="expression" dxfId="455" priority="167">
      <formula>X569&gt;W569</formula>
    </cfRule>
    <cfRule type="expression" dxfId="454" priority="168">
      <formula>W569&gt;=X569</formula>
    </cfRule>
  </conditionalFormatting>
  <conditionalFormatting sqref="R575">
    <cfRule type="expression" dxfId="453" priority="165">
      <formula>Q575&gt;P575</formula>
    </cfRule>
    <cfRule type="expression" dxfId="452" priority="166">
      <formula>P575&gt;=Q575</formula>
    </cfRule>
  </conditionalFormatting>
  <conditionalFormatting sqref="R569">
    <cfRule type="expression" dxfId="451" priority="163">
      <formula>Q569&gt;P569</formula>
    </cfRule>
    <cfRule type="expression" dxfId="450" priority="164">
      <formula>P569&gt;=Q569</formula>
    </cfRule>
  </conditionalFormatting>
  <conditionalFormatting sqref="R570:R571">
    <cfRule type="expression" dxfId="449" priority="161">
      <formula>Q570&gt;P570</formula>
    </cfRule>
    <cfRule type="expression" dxfId="448" priority="162">
      <formula>P570&gt;=Q570</formula>
    </cfRule>
  </conditionalFormatting>
  <conditionalFormatting sqref="R580">
    <cfRule type="expression" dxfId="447" priority="157">
      <formula>Q580&gt;P580</formula>
    </cfRule>
    <cfRule type="expression" dxfId="446" priority="158">
      <formula>P580&gt;=Q580</formula>
    </cfRule>
  </conditionalFormatting>
  <conditionalFormatting sqref="R581:R582">
    <cfRule type="expression" dxfId="445" priority="155">
      <formula>Q581&gt;P581</formula>
    </cfRule>
    <cfRule type="expression" dxfId="444" priority="156">
      <formula>P581&gt;=Q581</formula>
    </cfRule>
  </conditionalFormatting>
  <conditionalFormatting sqref="Y580">
    <cfRule type="expression" dxfId="443" priority="159">
      <formula>X580&gt;W580</formula>
    </cfRule>
    <cfRule type="expression" dxfId="442" priority="160">
      <formula>W580&gt;=X580</formula>
    </cfRule>
  </conditionalFormatting>
  <conditionalFormatting sqref="R465:R467">
    <cfRule type="expression" dxfId="441" priority="153">
      <formula>Q465&gt;P465</formula>
    </cfRule>
    <cfRule type="expression" dxfId="440" priority="154">
      <formula>P465&gt;=Q465</formula>
    </cfRule>
  </conditionalFormatting>
  <conditionalFormatting sqref="R475">
    <cfRule type="expression" dxfId="439" priority="151">
      <formula>Q475&gt;P475</formula>
    </cfRule>
    <cfRule type="expression" dxfId="438" priority="152">
      <formula>P475&gt;=Q475</formula>
    </cfRule>
  </conditionalFormatting>
  <conditionalFormatting sqref="R476:R477">
    <cfRule type="expression" dxfId="437" priority="149">
      <formula>Q476&gt;P476</formula>
    </cfRule>
    <cfRule type="expression" dxfId="436" priority="150">
      <formula>P476&gt;=Q476</formula>
    </cfRule>
  </conditionalFormatting>
  <conditionalFormatting sqref="R491:R493">
    <cfRule type="expression" dxfId="435" priority="147">
      <formula>Q491&gt;P491</formula>
    </cfRule>
    <cfRule type="expression" dxfId="434" priority="148">
      <formula>P491&gt;=Q491</formula>
    </cfRule>
  </conditionalFormatting>
  <conditionalFormatting sqref="R548 R550">
    <cfRule type="expression" dxfId="433" priority="145">
      <formula>Q548&gt;P548</formula>
    </cfRule>
    <cfRule type="expression" dxfId="432" priority="146">
      <formula>P548&gt;=Q548</formula>
    </cfRule>
  </conditionalFormatting>
  <conditionalFormatting sqref="R556 R558">
    <cfRule type="expression" dxfId="431" priority="143">
      <formula>Q556&gt;P556</formula>
    </cfRule>
    <cfRule type="expression" dxfId="430" priority="144">
      <formula>P556&gt;=Q556</formula>
    </cfRule>
  </conditionalFormatting>
  <conditionalFormatting sqref="K574">
    <cfRule type="expression" dxfId="429" priority="141">
      <formula>J574&gt;I574</formula>
    </cfRule>
    <cfRule type="expression" dxfId="428" priority="142">
      <formula>I574&gt;=J574</formula>
    </cfRule>
  </conditionalFormatting>
  <conditionalFormatting sqref="K573">
    <cfRule type="expression" dxfId="427" priority="139">
      <formula>J573&gt;I573</formula>
    </cfRule>
    <cfRule type="expression" dxfId="426" priority="140">
      <formula>I573&gt;=J573</formula>
    </cfRule>
  </conditionalFormatting>
  <conditionalFormatting sqref="K611:K615 K658">
    <cfRule type="expression" dxfId="425" priority="137">
      <formula>J611&gt;I611</formula>
    </cfRule>
    <cfRule type="expression" dxfId="424" priority="138">
      <formula>I611&gt;=J611</formula>
    </cfRule>
  </conditionalFormatting>
  <conditionalFormatting sqref="R646:R648">
    <cfRule type="expression" dxfId="423" priority="103">
      <formula>Q646&gt;P646</formula>
    </cfRule>
    <cfRule type="expression" dxfId="422" priority="104">
      <formula>P646&gt;=Q646</formula>
    </cfRule>
  </conditionalFormatting>
  <conditionalFormatting sqref="K653:K656">
    <cfRule type="expression" dxfId="421" priority="101">
      <formula>J653&gt;I653</formula>
    </cfRule>
    <cfRule type="expression" dxfId="420" priority="102">
      <formula>I653&gt;=J653</formula>
    </cfRule>
  </conditionalFormatting>
  <conditionalFormatting sqref="Y654">
    <cfRule type="expression" dxfId="419" priority="99">
      <formula>X654&gt;W654</formula>
    </cfRule>
    <cfRule type="expression" dxfId="418" priority="100">
      <formula>W654&gt;=X654</formula>
    </cfRule>
  </conditionalFormatting>
  <conditionalFormatting sqref="K657">
    <cfRule type="expression" dxfId="417" priority="97">
      <formula>J657&gt;I657</formula>
    </cfRule>
    <cfRule type="expression" dxfId="416" priority="98">
      <formula>I657&gt;=J657</formula>
    </cfRule>
  </conditionalFormatting>
  <conditionalFormatting sqref="K627:K633 K742:K746">
    <cfRule type="expression" dxfId="415" priority="135">
      <formula>J627&gt;I627</formula>
    </cfRule>
    <cfRule type="expression" dxfId="414" priority="136">
      <formula>I627&gt;=J627</formula>
    </cfRule>
  </conditionalFormatting>
  <conditionalFormatting sqref="R612">
    <cfRule type="expression" dxfId="413" priority="133">
      <formula>Q612&gt;P612</formula>
    </cfRule>
    <cfRule type="expression" dxfId="412" priority="134">
      <formula>P612&gt;=Q612</formula>
    </cfRule>
  </conditionalFormatting>
  <conditionalFormatting sqref="Y612">
    <cfRule type="expression" dxfId="411" priority="131">
      <formula>X612&gt;W612</formula>
    </cfRule>
    <cfRule type="expression" dxfId="410" priority="132">
      <formula>W612&gt;=X612</formula>
    </cfRule>
  </conditionalFormatting>
  <conditionalFormatting sqref="Y646">
    <cfRule type="expression" dxfId="409" priority="127">
      <formula>X646&gt;W646</formula>
    </cfRule>
    <cfRule type="expression" dxfId="408" priority="128">
      <formula>W646&gt;=X646</formula>
    </cfRule>
  </conditionalFormatting>
  <conditionalFormatting sqref="Y638">
    <cfRule type="expression" dxfId="407" priority="129">
      <formula>X638&gt;W638</formula>
    </cfRule>
    <cfRule type="expression" dxfId="406" priority="130">
      <formula>W638&gt;=X638</formula>
    </cfRule>
  </conditionalFormatting>
  <conditionalFormatting sqref="R751">
    <cfRule type="expression" dxfId="405" priority="125">
      <formula>Q751&gt;P751</formula>
    </cfRule>
    <cfRule type="expression" dxfId="404" priority="126">
      <formula>P751&gt;=Q751</formula>
    </cfRule>
  </conditionalFormatting>
  <conditionalFormatting sqref="K750:K755">
    <cfRule type="expression" dxfId="403" priority="119">
      <formula>J750&gt;I750</formula>
    </cfRule>
    <cfRule type="expression" dxfId="402" priority="120">
      <formula>I750&gt;=J750</formula>
    </cfRule>
  </conditionalFormatting>
  <conditionalFormatting sqref="K637:K641">
    <cfRule type="expression" dxfId="401" priority="123">
      <formula>J637&gt;I637</formula>
    </cfRule>
    <cfRule type="expression" dxfId="400" priority="124">
      <formula>I637&gt;=J637</formula>
    </cfRule>
  </conditionalFormatting>
  <conditionalFormatting sqref="K645:K649">
    <cfRule type="expression" dxfId="399" priority="121">
      <formula>J645&gt;I645</formula>
    </cfRule>
    <cfRule type="expression" dxfId="398" priority="122">
      <formula>I645&gt;=J645</formula>
    </cfRule>
  </conditionalFormatting>
  <conditionalFormatting sqref="R620:R622">
    <cfRule type="expression" dxfId="397" priority="111">
      <formula>Q620&gt;P620</formula>
    </cfRule>
    <cfRule type="expression" dxfId="396" priority="112">
      <formula>P620&gt;=Q620</formula>
    </cfRule>
  </conditionalFormatting>
  <conditionalFormatting sqref="Y628">
    <cfRule type="expression" dxfId="395" priority="107">
      <formula>X628&gt;W628</formula>
    </cfRule>
    <cfRule type="expression" dxfId="394" priority="108">
      <formula>W628&gt;=X628</formula>
    </cfRule>
  </conditionalFormatting>
  <conditionalFormatting sqref="R613:R614">
    <cfRule type="expression" dxfId="393" priority="117">
      <formula>Q613&gt;P613</formula>
    </cfRule>
    <cfRule type="expression" dxfId="392" priority="118">
      <formula>P613&gt;=Q613</formula>
    </cfRule>
  </conditionalFormatting>
  <conditionalFormatting sqref="Y620">
    <cfRule type="expression" dxfId="391" priority="115">
      <formula>X620&gt;W620</formula>
    </cfRule>
    <cfRule type="expression" dxfId="390" priority="116">
      <formula>W620&gt;=X620</formula>
    </cfRule>
  </conditionalFormatting>
  <conditionalFormatting sqref="K619:K622">
    <cfRule type="expression" dxfId="389" priority="113">
      <formula>J619&gt;I619</formula>
    </cfRule>
    <cfRule type="expression" dxfId="388" priority="114">
      <formula>I619&gt;=J619</formula>
    </cfRule>
  </conditionalFormatting>
  <conditionalFormatting sqref="K623">
    <cfRule type="expression" dxfId="387" priority="109">
      <formula>J623&gt;I623</formula>
    </cfRule>
    <cfRule type="expression" dxfId="386" priority="110">
      <formula>I623&gt;=J623</formula>
    </cfRule>
  </conditionalFormatting>
  <conditionalFormatting sqref="R633">
    <cfRule type="expression" dxfId="385" priority="105">
      <formula>Q633&gt;P633</formula>
    </cfRule>
    <cfRule type="expression" dxfId="384" priority="106">
      <formula>P633&gt;=Q633</formula>
    </cfRule>
  </conditionalFormatting>
  <conditionalFormatting sqref="R658">
    <cfRule type="expression" dxfId="383" priority="95">
      <formula>Q658&gt;P658</formula>
    </cfRule>
    <cfRule type="expression" dxfId="382" priority="96">
      <formula>P658&gt;=Q658</formula>
    </cfRule>
  </conditionalFormatting>
  <conditionalFormatting sqref="K662:K667">
    <cfRule type="expression" dxfId="381" priority="93">
      <formula>J662&gt;I662</formula>
    </cfRule>
    <cfRule type="expression" dxfId="380" priority="94">
      <formula>I662&gt;=J662</formula>
    </cfRule>
  </conditionalFormatting>
  <conditionalFormatting sqref="R667">
    <cfRule type="expression" dxfId="379" priority="89">
      <formula>Q667&gt;P667</formula>
    </cfRule>
    <cfRule type="expression" dxfId="378" priority="90">
      <formula>P667&gt;=Q667</formula>
    </cfRule>
  </conditionalFormatting>
  <conditionalFormatting sqref="R663">
    <cfRule type="expression" dxfId="377" priority="87">
      <formula>Q663&gt;P663</formula>
    </cfRule>
    <cfRule type="expression" dxfId="376" priority="88">
      <formula>P663&gt;=Q663</formula>
    </cfRule>
  </conditionalFormatting>
  <conditionalFormatting sqref="Y663">
    <cfRule type="expression" dxfId="375" priority="91">
      <formula>X663&gt;W663</formula>
    </cfRule>
    <cfRule type="expression" dxfId="374" priority="92">
      <formula>W663&gt;=X663</formula>
    </cfRule>
  </conditionalFormatting>
  <conditionalFormatting sqref="R664:R665">
    <cfRule type="expression" dxfId="373" priority="85">
      <formula>Q664&gt;P664</formula>
    </cfRule>
    <cfRule type="expression" dxfId="372" priority="86">
      <formula>P664&gt;=Q664</formula>
    </cfRule>
  </conditionalFormatting>
  <conditionalFormatting sqref="K678:K679">
    <cfRule type="expression" dxfId="371" priority="77">
      <formula>J678&gt;I678</formula>
    </cfRule>
    <cfRule type="expression" dxfId="370" priority="78">
      <formula>I678&gt;=J678</formula>
    </cfRule>
  </conditionalFormatting>
  <conditionalFormatting sqref="K680:K681">
    <cfRule type="expression" dxfId="369" priority="79">
      <formula>J680&gt;I680</formula>
    </cfRule>
    <cfRule type="expression" dxfId="368" priority="80">
      <formula>I680&gt;=J680</formula>
    </cfRule>
  </conditionalFormatting>
  <conditionalFormatting sqref="Y687">
    <cfRule type="expression" dxfId="367" priority="69">
      <formula>X687&gt;W687</formula>
    </cfRule>
    <cfRule type="expression" dxfId="366" priority="70">
      <formula>W687&gt;=X687</formula>
    </cfRule>
  </conditionalFormatting>
  <conditionalFormatting sqref="K671:K677 K682">
    <cfRule type="expression" dxfId="365" priority="83">
      <formula>J671&gt;I671</formula>
    </cfRule>
    <cfRule type="expression" dxfId="364" priority="84">
      <formula>I671&gt;=J671</formula>
    </cfRule>
  </conditionalFormatting>
  <conditionalFormatting sqref="R676">
    <cfRule type="expression" dxfId="363" priority="71">
      <formula>Q676&gt;P676</formula>
    </cfRule>
    <cfRule type="expression" dxfId="362" priority="72">
      <formula>P676&gt;=Q676</formula>
    </cfRule>
  </conditionalFormatting>
  <conditionalFormatting sqref="Y672">
    <cfRule type="expression" dxfId="361" priority="81">
      <formula>X672&gt;W672</formula>
    </cfRule>
    <cfRule type="expression" dxfId="360" priority="82">
      <formula>W672&gt;=X672</formula>
    </cfRule>
  </conditionalFormatting>
  <conditionalFormatting sqref="K689">
    <cfRule type="expression" dxfId="359" priority="63">
      <formula>J689&gt;I689</formula>
    </cfRule>
    <cfRule type="expression" dxfId="358" priority="64">
      <formula>I689&gt;=J689</formula>
    </cfRule>
  </conditionalFormatting>
  <conditionalFormatting sqref="K697">
    <cfRule type="expression" dxfId="357" priority="55">
      <formula>J697&gt;I697</formula>
    </cfRule>
    <cfRule type="expression" dxfId="356" priority="56">
      <formula>I697&gt;=J697</formula>
    </cfRule>
  </conditionalFormatting>
  <conditionalFormatting sqref="R672">
    <cfRule type="expression" dxfId="355" priority="75">
      <formula>Q672&gt;P672</formula>
    </cfRule>
    <cfRule type="expression" dxfId="354" priority="76">
      <formula>P672&gt;=Q672</formula>
    </cfRule>
  </conditionalFormatting>
  <conditionalFormatting sqref="R673:R674">
    <cfRule type="expression" dxfId="353" priority="73">
      <formula>Q673&gt;P673</formula>
    </cfRule>
    <cfRule type="expression" dxfId="352" priority="74">
      <formula>P673&gt;=Q673</formula>
    </cfRule>
  </conditionalFormatting>
  <conditionalFormatting sqref="K705">
    <cfRule type="expression" dxfId="351" priority="47">
      <formula>J705&gt;I705</formula>
    </cfRule>
    <cfRule type="expression" dxfId="350" priority="48">
      <formula>I705&gt;=J705</formula>
    </cfRule>
  </conditionalFormatting>
  <conditionalFormatting sqref="K694:K696 K698">
    <cfRule type="expression" dxfId="349" priority="59">
      <formula>J694&gt;I694</formula>
    </cfRule>
    <cfRule type="expression" dxfId="348" priority="60">
      <formula>I694&gt;=J694</formula>
    </cfRule>
  </conditionalFormatting>
  <conditionalFormatting sqref="K686:K688 K690">
    <cfRule type="expression" dxfId="347" priority="67">
      <formula>J686&gt;I686</formula>
    </cfRule>
    <cfRule type="expression" dxfId="346" priority="68">
      <formula>I686&gt;=J686</formula>
    </cfRule>
  </conditionalFormatting>
  <conditionalFormatting sqref="R687:R689">
    <cfRule type="expression" dxfId="345" priority="65">
      <formula>Q687&gt;P687</formula>
    </cfRule>
    <cfRule type="expression" dxfId="344" priority="66">
      <formula>P687&gt;=Q687</formula>
    </cfRule>
  </conditionalFormatting>
  <conditionalFormatting sqref="K725:K726">
    <cfRule type="expression" dxfId="343" priority="35">
      <formula>J725&gt;I725</formula>
    </cfRule>
    <cfRule type="expression" dxfId="342" priority="36">
      <formula>I725&gt;=J725</formula>
    </cfRule>
  </conditionalFormatting>
  <conditionalFormatting sqref="K731:K735 K738">
    <cfRule type="expression" dxfId="341" priority="31">
      <formula>J731&gt;I731</formula>
    </cfRule>
    <cfRule type="expression" dxfId="340" priority="32">
      <formula>I731&gt;=J731</formula>
    </cfRule>
  </conditionalFormatting>
  <conditionalFormatting sqref="Y695">
    <cfRule type="expression" dxfId="339" priority="61">
      <formula>X695&gt;W695</formula>
    </cfRule>
    <cfRule type="expression" dxfId="338" priority="62">
      <formula>W695&gt;=X695</formula>
    </cfRule>
  </conditionalFormatting>
  <conditionalFormatting sqref="R695 R697">
    <cfRule type="expression" dxfId="337" priority="57">
      <formula>Q695&gt;P695</formula>
    </cfRule>
    <cfRule type="expression" dxfId="336" priority="58">
      <formula>P695&gt;=Q695</formula>
    </cfRule>
  </conditionalFormatting>
  <conditionalFormatting sqref="K713">
    <cfRule type="expression" dxfId="335" priority="41">
      <formula>J713&gt;I713</formula>
    </cfRule>
    <cfRule type="expression" dxfId="334" priority="42">
      <formula>I713&gt;=J713</formula>
    </cfRule>
  </conditionalFormatting>
  <conditionalFormatting sqref="Y703">
    <cfRule type="expression" dxfId="333" priority="53">
      <formula>X703&gt;W703</formula>
    </cfRule>
    <cfRule type="expression" dxfId="332" priority="54">
      <formula>W703&gt;=X703</formula>
    </cfRule>
  </conditionalFormatting>
  <conditionalFormatting sqref="K702:K704 K706">
    <cfRule type="expression" dxfId="331" priority="51">
      <formula>J702&gt;I702</formula>
    </cfRule>
    <cfRule type="expression" dxfId="330" priority="52">
      <formula>I702&gt;=J702</formula>
    </cfRule>
  </conditionalFormatting>
  <conditionalFormatting sqref="R703:R705">
    <cfRule type="expression" dxfId="329" priority="49">
      <formula>Q703&gt;P703</formula>
    </cfRule>
    <cfRule type="expression" dxfId="328" priority="50">
      <formula>P703&gt;=Q703</formula>
    </cfRule>
  </conditionalFormatting>
  <conditionalFormatting sqref="R723">
    <cfRule type="expression" dxfId="327" priority="33">
      <formula>Q723&gt;P723</formula>
    </cfRule>
    <cfRule type="expression" dxfId="326" priority="34">
      <formula>P723&gt;=Q723</formula>
    </cfRule>
  </conditionalFormatting>
  <conditionalFormatting sqref="Y711">
    <cfRule type="expression" dxfId="325" priority="45">
      <formula>X711&gt;W711</formula>
    </cfRule>
    <cfRule type="expression" dxfId="324" priority="46">
      <formula>W711&gt;=X711</formula>
    </cfRule>
  </conditionalFormatting>
  <conditionalFormatting sqref="K710:K712 K714">
    <cfRule type="expression" dxfId="323" priority="43">
      <formula>J710&gt;I710</formula>
    </cfRule>
    <cfRule type="expression" dxfId="322" priority="44">
      <formula>I710&gt;=J710</formula>
    </cfRule>
  </conditionalFormatting>
  <conditionalFormatting sqref="K718:K724 K727">
    <cfRule type="expression" dxfId="321" priority="39">
      <formula>J718&gt;I718</formula>
    </cfRule>
    <cfRule type="expression" dxfId="320" priority="40">
      <formula>I718&gt;=J718</formula>
    </cfRule>
  </conditionalFormatting>
  <conditionalFormatting sqref="Y719">
    <cfRule type="expression" dxfId="319" priority="37">
      <formula>X719&gt;W719</formula>
    </cfRule>
    <cfRule type="expression" dxfId="318" priority="38">
      <formula>W719&gt;=X719</formula>
    </cfRule>
  </conditionalFormatting>
  <conditionalFormatting sqref="Y732">
    <cfRule type="expression" dxfId="317" priority="29">
      <formula>X732&gt;W732</formula>
    </cfRule>
    <cfRule type="expression" dxfId="316" priority="30">
      <formula>W732&gt;=X732</formula>
    </cfRule>
  </conditionalFormatting>
  <conditionalFormatting sqref="R738">
    <cfRule type="expression" dxfId="315" priority="27">
      <formula>Q738&gt;P738</formula>
    </cfRule>
    <cfRule type="expression" dxfId="314" priority="28">
      <formula>P738&gt;=Q738</formula>
    </cfRule>
  </conditionalFormatting>
  <conditionalFormatting sqref="R732">
    <cfRule type="expression" dxfId="313" priority="25">
      <formula>Q732&gt;P732</formula>
    </cfRule>
    <cfRule type="expression" dxfId="312" priority="26">
      <formula>P732&gt;=Q732</formula>
    </cfRule>
  </conditionalFormatting>
  <conditionalFormatting sqref="R733:R734">
    <cfRule type="expression" dxfId="311" priority="23">
      <formula>Q733&gt;P733</formula>
    </cfRule>
    <cfRule type="expression" dxfId="310" priority="24">
      <formula>P733&gt;=Q733</formula>
    </cfRule>
  </conditionalFormatting>
  <conditionalFormatting sqref="R743">
    <cfRule type="expression" dxfId="309" priority="19">
      <formula>Q743&gt;P743</formula>
    </cfRule>
    <cfRule type="expression" dxfId="308" priority="20">
      <formula>P743&gt;=Q743</formula>
    </cfRule>
  </conditionalFormatting>
  <conditionalFormatting sqref="R744:R745">
    <cfRule type="expression" dxfId="307" priority="17">
      <formula>Q744&gt;P744</formula>
    </cfRule>
    <cfRule type="expression" dxfId="306" priority="18">
      <formula>P744&gt;=Q744</formula>
    </cfRule>
  </conditionalFormatting>
  <conditionalFormatting sqref="Y743">
    <cfRule type="expression" dxfId="305" priority="21">
      <formula>X743&gt;W743</formula>
    </cfRule>
    <cfRule type="expression" dxfId="304" priority="22">
      <formula>W743&gt;=X743</formula>
    </cfRule>
  </conditionalFormatting>
  <conditionalFormatting sqref="R628:R630">
    <cfRule type="expression" dxfId="303" priority="15">
      <formula>Q628&gt;P628</formula>
    </cfRule>
    <cfRule type="expression" dxfId="302" priority="16">
      <formula>P628&gt;=Q628</formula>
    </cfRule>
  </conditionalFormatting>
  <conditionalFormatting sqref="R638">
    <cfRule type="expression" dxfId="301" priority="13">
      <formula>Q638&gt;P638</formula>
    </cfRule>
    <cfRule type="expression" dxfId="300" priority="14">
      <formula>P638&gt;=Q638</formula>
    </cfRule>
  </conditionalFormatting>
  <conditionalFormatting sqref="R639:R640">
    <cfRule type="expression" dxfId="299" priority="11">
      <formula>Q639&gt;P639</formula>
    </cfRule>
    <cfRule type="expression" dxfId="298" priority="12">
      <formula>P639&gt;=Q639</formula>
    </cfRule>
  </conditionalFormatting>
  <conditionalFormatting sqref="R654:R656">
    <cfRule type="expression" dxfId="297" priority="9">
      <formula>Q654&gt;P654</formula>
    </cfRule>
    <cfRule type="expression" dxfId="296" priority="10">
      <formula>P654&gt;=Q654</formula>
    </cfRule>
  </conditionalFormatting>
  <conditionalFormatting sqref="R711 R713">
    <cfRule type="expression" dxfId="295" priority="7">
      <formula>Q711&gt;P711</formula>
    </cfRule>
    <cfRule type="expression" dxfId="294" priority="8">
      <formula>P711&gt;=Q711</formula>
    </cfRule>
  </conditionalFormatting>
  <conditionalFormatting sqref="R719 R721">
    <cfRule type="expression" dxfId="293" priority="5">
      <formula>Q719&gt;P719</formula>
    </cfRule>
    <cfRule type="expression" dxfId="292" priority="6">
      <formula>P719&gt;=Q719</formula>
    </cfRule>
  </conditionalFormatting>
  <conditionalFormatting sqref="K737">
    <cfRule type="expression" dxfId="291" priority="3">
      <formula>J737&gt;I737</formula>
    </cfRule>
    <cfRule type="expression" dxfId="290" priority="4">
      <formula>I737&gt;=J737</formula>
    </cfRule>
  </conditionalFormatting>
  <conditionalFormatting sqref="K736">
    <cfRule type="expression" dxfId="289" priority="1">
      <formula>J736&gt;I736</formula>
    </cfRule>
    <cfRule type="expression" dxfId="288" priority="2">
      <formula>I736&gt;=J736</formula>
    </cfRule>
  </conditionalFormatting>
  <dataValidations disablePrompts="1" count="2">
    <dataValidation type="list" allowBlank="1" showInputMessage="1" showErrorMessage="1" sqref="AB152 U35 U24 N24 U43 AB24 N35 U51 AB35 N43 U62 AB43 N51 U70 AB51 N62 U80 AB62 N70 U93 AB70 N80 U102 AB80 N93 U110 AB93 N102 U120 AB102 N110 U128 AB110 N120 N128 AB120 N152 U152 AB163 U254 U163 AB171 N163 U171 AB179 N171 U179 AB190 N179 U190 AB198 N190 U198 AB207 N198 U207 AB220 N207 U220 AB230 N220 U230 AB238 N230 U238 AB246 N238 U246 AB254 N246 N254 AB128 AB278 N278 U278 U426 AB314 U314 N314 AB322 U322 AB426 N322 N426 AB293 U293 N293 AB305 U305 N305 AB330 U330 N330 AB340 U340 N340 AB349 N349 U349 AB364 U364 N364 AB372 U372 N372 AB380 U380 N380 AB388 U388 N388 AB396 N396 U396 AB409 U409 N409 AB418 U418 N418 AB450 N450 U450 U589 AB476 U476 N476 AB484 U484 AB589 N484 N589 AB458 U458 N458 AB466 U466 N466 AB492 U492 N492 AB501 U501 N501 AB510 N510 U510 AB525 U525 N525 AB533 U533 N581 AB541 U541 N541 AB549 U549 N549 AB557 N557 U557 AB570 U570 N570 AB581 U581 N533 AB613 N613 U613 U752 AB639 U639 N639 AB647 U647 AB752 N647 N752 AB621 U621 N621 AB629 U629 N629 AB655 U655 N655 AB664 U664 N664 AB673 N673 U673 AB688 U688 N688 AB696 U696 N744 AB704 U704 N704 AB712 U712 N712 AB720 N720 U720 AB733 U733 N733 AB744 U744 N696">
      <formula1>"SI,NO"</formula1>
    </dataValidation>
    <dataValidation type="list" allowBlank="1" showInputMessage="1" showErrorMessage="1" sqref="Z154:AB154 S37:U37 S26:U26 S45:U45 Z26:AB26 L26:N26 Z37:AB37 L37:N37 S53:U53 L45:N45 S64:U64 Z45:AB45 L53:N53 S72:U72 Z53:AB53 L64:N64 S82:U82 Z64:AB64 L72:N72 S95:U95 Z72:AB72 L82:N82 S104:U104 Z82:AB82 S112:U112 Z95:AB95 L95:N95 L104:N104 S122:U122 Z104:AB104 Z112:AB112 L112:N112 S130:U130 L122:N122 L130:N130 Z122:AB122 L154:N154 S154:U154 Z165:AB165 S165:U165 Z173:AB173 S222:U222 Z181:AB181 L165:N165 S173:U173 L173:N173 S181:U181 Z192:AB192 L181:N181 S192:U192 Z200:AB200 L192:N192 S200:U200 Z209:AB209 L200:N200 S209:U209 Z222:AB223 L209:N209 S256:U256 Z232:AB232 S232:U232 Z240:AB240 L222:N223 L232:N232 S240:U240 Z248:AB248 Z256:AB256 L240:N240 S248:U248 L248:N248 L256:N256 Z130:AB130 Z280:AB280 L280:N280 S280:U280 Z295:AB295 S316:U316 L316:N316 L307:N307 S428:U428 S324:U324 Z428:AB428 L324:N324 Z316:AB316 L428:N428 S583:U583 S295:U295 Z307:AB307 S307:U307 Z324:AB324 S332:U332 Z332:AB332 L342:N342 Z342:AB342 S342:U342 L332:N332 Z351:AB351 L351:N351 S351:U351 L366:N366 Z366:AB366 S366:U366 Z374:AB374 S374:U374 L374:N374 S382:U382 L382:N382 Z382:AB382 L390:N390 Z390:AB390 S390:U390 Z398:AB398 L398:N398 S398:U398 L411:N411 Z411:AB411 S411:U411 L420:N420 Z420:AB420 S420:U420 Z452:AB452 L452:N452 S452:U452 Z460:AB460 S478:U478 L478:N478 L295:N295 S591:U591 S486:U486 Z591:AB591 L486:N486 Z478:AB478 L591:N591 L460:N460 S460:U460 Z468:AB469 S468:U469 Z486:AB486 S494:U494 Z494:AB494 L503:N503 Z503:AB503 S503:U503 L494:N494 Z512:AB512 L512:N512 S512:U512 L527:N527 Z527:AB527 S527:U527 Z535:AB535 S535:U535 L535:N535 S543:U543 L543:N543 Z543:AB543 L551:N551 Z551:AB551 S551:U551 Z559:AB559 L559:N559 S559:U559 L468:N468 L583:N583 Z583:AB583 S572:U572 L572:N572 Z572:AB572 S746:U746 Z615:AB615 L615:N615 S615:U615 Z623:AB623 S641:U641 L641:N641 S754:U754 S649:U649 Z754:AB754 L649:N649 Z641:AB641 L754:N754 L623:N623 S623:U623 Z631:AB632 S631:U632 Z649:AB649 S657:U657 Z657:AB657 L666:N666 Z666:AB666 S666:U666 L657:N657 Z675:AB675 L675:N675 S675:U675 L690:N690 Z690:AB690 S690:U690 Z698:AB698 S698:U698 L698:N698 S706:U706 L706:N706 Z706:AB706 L714:N714 Z714:AB714 S714:U714 Z722:AB722 L722:N722 S722:U722 L631:N631 L746:N746 Z746:AB746 S735:U735 L735:N735 Z735:AB735">
      <formula1>"Muy Mala,Mala,Regular,Buena,Muy Buena"</formula1>
    </dataValidation>
  </dataValidations>
  <pageMargins left="0.25" right="0.25" top="0.75" bottom="0.75" header="0.3" footer="0.3"/>
  <pageSetup paperSize="9" orientation="portrait" horizontalDpi="1200" verticalDpi="1200" r:id="rId1"/>
  <ignoredErrors>
    <ignoredError sqref="I15:I17 I330 I409 I492 I655 P72 P112 P181" formula="1"/>
  </ignoredErrors>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enableFormatConditionsCalculation="0"/>
  <dimension ref="A1:P153"/>
  <sheetViews>
    <sheetView workbookViewId="0">
      <selection activeCell="P150" sqref="P150"/>
    </sheetView>
  </sheetViews>
  <sheetFormatPr baseColWidth="10" defaultRowHeight="15" x14ac:dyDescent="0.2"/>
  <cols>
    <col min="1" max="1" width="13.5" style="1" customWidth="1"/>
    <col min="2" max="8" width="10.83203125" style="2"/>
    <col min="9" max="14" width="10.83203125" style="1"/>
    <col min="15" max="15" width="3.83203125" style="1" customWidth="1"/>
    <col min="16" max="16384" width="10.83203125" style="1"/>
  </cols>
  <sheetData>
    <row r="1" spans="1:16" s="15" customFormat="1" ht="17" thickTop="1" x14ac:dyDescent="0.2">
      <c r="A1" s="318" t="s">
        <v>15</v>
      </c>
      <c r="B1" s="320" t="s">
        <v>7</v>
      </c>
      <c r="C1" s="321"/>
      <c r="D1" s="321"/>
      <c r="E1" s="321"/>
      <c r="F1" s="321"/>
      <c r="G1" s="321"/>
      <c r="H1" s="322"/>
      <c r="I1" s="323" t="s">
        <v>8</v>
      </c>
      <c r="J1" s="324"/>
      <c r="K1" s="324"/>
      <c r="L1" s="325"/>
      <c r="M1" s="323" t="s">
        <v>9</v>
      </c>
      <c r="N1" s="325"/>
    </row>
    <row r="2" spans="1:16" ht="16" thickBot="1" x14ac:dyDescent="0.25">
      <c r="A2" s="319"/>
      <c r="B2" s="16" t="s">
        <v>0</v>
      </c>
      <c r="C2" s="17" t="s">
        <v>1</v>
      </c>
      <c r="D2" s="17" t="s">
        <v>2</v>
      </c>
      <c r="E2" s="17" t="s">
        <v>3</v>
      </c>
      <c r="F2" s="17" t="s">
        <v>4</v>
      </c>
      <c r="G2" s="17" t="s">
        <v>5</v>
      </c>
      <c r="H2" s="18" t="s">
        <v>6</v>
      </c>
      <c r="I2" s="19" t="s">
        <v>10</v>
      </c>
      <c r="J2" s="20" t="s">
        <v>11</v>
      </c>
      <c r="K2" s="20" t="s">
        <v>12</v>
      </c>
      <c r="L2" s="21" t="s">
        <v>179</v>
      </c>
      <c r="M2" s="19" t="s">
        <v>13</v>
      </c>
      <c r="N2" s="21" t="s">
        <v>14</v>
      </c>
    </row>
    <row r="3" spans="1:16" ht="16" thickTop="1" x14ac:dyDescent="0.2">
      <c r="A3" s="25">
        <v>1.1574074074074073E-4</v>
      </c>
      <c r="B3" s="6">
        <v>9.3235596707818906E-6</v>
      </c>
      <c r="C3" s="7">
        <v>1.3985339506172845E-5</v>
      </c>
      <c r="D3" s="7">
        <v>1.8647119341563788E-5</v>
      </c>
      <c r="E3" s="7">
        <v>2.3308899176954738E-5</v>
      </c>
      <c r="F3" s="7">
        <v>2.7890303497942383E-5</v>
      </c>
      <c r="G3" s="7">
        <v>3.7213863168724272E-5</v>
      </c>
      <c r="H3" s="8">
        <v>4.6617798353909468E-5</v>
      </c>
      <c r="I3" s="9">
        <v>2.3148148148148147E-5</v>
      </c>
      <c r="J3" s="10">
        <v>2.3148148148148147E-5</v>
      </c>
      <c r="K3" s="10">
        <v>2.3148148148148147E-5</v>
      </c>
      <c r="L3" s="11"/>
      <c r="M3" s="6">
        <v>2.6684670781893003E-5</v>
      </c>
      <c r="N3" s="8">
        <v>2.5398662551440323E-5</v>
      </c>
    </row>
    <row r="4" spans="1:16" s="2" customFormat="1" x14ac:dyDescent="0.2">
      <c r="A4" s="25">
        <v>1.1111111111111112E-2</v>
      </c>
      <c r="B4" s="9">
        <v>7.7546296296296304E-4</v>
      </c>
      <c r="C4" s="10">
        <v>1.1921296296296296E-3</v>
      </c>
      <c r="D4" s="10">
        <v>1.5972222222222221E-3</v>
      </c>
      <c r="E4" s="10">
        <v>2.0254629629629629E-3</v>
      </c>
      <c r="F4" s="10">
        <v>2.4768518518518516E-3</v>
      </c>
      <c r="G4" s="10">
        <v>3.3912037037037036E-3</v>
      </c>
      <c r="H4" s="11">
        <v>4.2939814814814811E-3</v>
      </c>
      <c r="I4" s="9">
        <v>2.3379629629629631E-3</v>
      </c>
      <c r="J4" s="10">
        <v>2.4537037037037036E-3</v>
      </c>
      <c r="K4" s="10">
        <v>2.5578703703703705E-3</v>
      </c>
      <c r="L4" s="11">
        <f>K4+41/86400</f>
        <v>3.0324074074074077E-3</v>
      </c>
      <c r="M4" s="9">
        <v>2.5578703703703705E-3</v>
      </c>
      <c r="N4" s="11">
        <v>2.4421296296296296E-3</v>
      </c>
      <c r="P4" s="3"/>
    </row>
    <row r="5" spans="1:16" s="2" customFormat="1" x14ac:dyDescent="0.2">
      <c r="A5" s="25">
        <f t="shared" ref="A5:A36" si="0">A4+$A$3</f>
        <v>1.1226851851851852E-2</v>
      </c>
      <c r="B5" s="9">
        <f t="shared" ref="B5:K14" si="1">B$4+$P5*B$3</f>
        <v>7.8478652263374497E-4</v>
      </c>
      <c r="C5" s="10">
        <f t="shared" si="1"/>
        <v>1.2061149691358023E-3</v>
      </c>
      <c r="D5" s="10">
        <f t="shared" si="1"/>
        <v>1.615869341563786E-3</v>
      </c>
      <c r="E5" s="10">
        <f t="shared" si="1"/>
        <v>2.0487718621399176E-3</v>
      </c>
      <c r="F5" s="10">
        <f t="shared" si="1"/>
        <v>2.5047421553497941E-3</v>
      </c>
      <c r="G5" s="10">
        <f t="shared" si="1"/>
        <v>3.4284175668724279E-3</v>
      </c>
      <c r="H5" s="11">
        <f t="shared" si="1"/>
        <v>4.3405992798353906E-3</v>
      </c>
      <c r="I5" s="9">
        <f t="shared" si="1"/>
        <v>2.3611111111111111E-3</v>
      </c>
      <c r="J5" s="10">
        <f t="shared" si="1"/>
        <v>2.4768518518518516E-3</v>
      </c>
      <c r="K5" s="10">
        <f t="shared" si="1"/>
        <v>2.5810185185185185E-3</v>
      </c>
      <c r="L5" s="11">
        <f t="shared" ref="L5:L68" si="2">K5+41/86400</f>
        <v>3.0555555555555557E-3</v>
      </c>
      <c r="M5" s="9">
        <f>M$4+$P5*M$3</f>
        <v>2.5845550411522636E-3</v>
      </c>
      <c r="N5" s="11">
        <f>N$4+$P5*N$3</f>
        <v>2.4675282921810698E-3</v>
      </c>
      <c r="P5" s="3">
        <v>1</v>
      </c>
    </row>
    <row r="6" spans="1:16" s="2" customFormat="1" x14ac:dyDescent="0.2">
      <c r="A6" s="25">
        <f t="shared" si="0"/>
        <v>1.1342592592592593E-2</v>
      </c>
      <c r="B6" s="9">
        <f t="shared" si="1"/>
        <v>7.941100823045268E-4</v>
      </c>
      <c r="C6" s="10">
        <f t="shared" si="1"/>
        <v>1.2201003086419753E-3</v>
      </c>
      <c r="D6" s="10">
        <f t="shared" si="1"/>
        <v>1.6345164609053496E-3</v>
      </c>
      <c r="E6" s="10">
        <f t="shared" si="1"/>
        <v>2.0720807613168724E-3</v>
      </c>
      <c r="F6" s="10">
        <f t="shared" si="1"/>
        <v>2.5326324588477362E-3</v>
      </c>
      <c r="G6" s="10">
        <f t="shared" si="1"/>
        <v>3.4656314300411523E-3</v>
      </c>
      <c r="H6" s="11">
        <f t="shared" si="1"/>
        <v>4.3872170781893002E-3</v>
      </c>
      <c r="I6" s="9">
        <f t="shared" si="1"/>
        <v>2.3842592592592596E-3</v>
      </c>
      <c r="J6" s="10">
        <f t="shared" si="1"/>
        <v>2.5000000000000001E-3</v>
      </c>
      <c r="K6" s="10">
        <f t="shared" si="1"/>
        <v>2.604166666666667E-3</v>
      </c>
      <c r="L6" s="11">
        <f t="shared" si="2"/>
        <v>3.0787037037037042E-3</v>
      </c>
      <c r="M6" s="9">
        <f t="shared" ref="M6:N37" si="3">M$4+$P6*M$3</f>
        <v>2.6112397119341566E-3</v>
      </c>
      <c r="N6" s="11">
        <f t="shared" si="3"/>
        <v>2.4929269547325104E-3</v>
      </c>
      <c r="P6" s="3">
        <f t="shared" ref="P6:P69" si="4">P5+1</f>
        <v>2</v>
      </c>
    </row>
    <row r="7" spans="1:16" s="2" customFormat="1" x14ac:dyDescent="0.2">
      <c r="A7" s="25">
        <f t="shared" si="0"/>
        <v>1.1458333333333334E-2</v>
      </c>
      <c r="B7" s="9">
        <f t="shared" si="1"/>
        <v>8.0343364197530873E-4</v>
      </c>
      <c r="C7" s="10">
        <f t="shared" si="1"/>
        <v>1.2340856481481482E-3</v>
      </c>
      <c r="D7" s="10">
        <f t="shared" si="1"/>
        <v>1.6531635802469135E-3</v>
      </c>
      <c r="E7" s="10">
        <f t="shared" si="1"/>
        <v>2.0953896604938272E-3</v>
      </c>
      <c r="F7" s="10">
        <f t="shared" si="1"/>
        <v>2.5605227623456787E-3</v>
      </c>
      <c r="G7" s="10">
        <f t="shared" si="1"/>
        <v>3.5028452932098766E-3</v>
      </c>
      <c r="H7" s="11">
        <f t="shared" si="1"/>
        <v>4.4338348765432098E-3</v>
      </c>
      <c r="I7" s="9">
        <f t="shared" si="1"/>
        <v>2.4074074074074076E-3</v>
      </c>
      <c r="J7" s="10">
        <f t="shared" si="1"/>
        <v>2.5231481481481481E-3</v>
      </c>
      <c r="K7" s="10">
        <f t="shared" si="1"/>
        <v>2.627314814814815E-3</v>
      </c>
      <c r="L7" s="11">
        <f t="shared" si="2"/>
        <v>3.1018518518518522E-3</v>
      </c>
      <c r="M7" s="9">
        <f t="shared" si="3"/>
        <v>2.6379243827160496E-3</v>
      </c>
      <c r="N7" s="11">
        <f t="shared" si="3"/>
        <v>2.5183256172839506E-3</v>
      </c>
      <c r="P7" s="3">
        <f t="shared" si="4"/>
        <v>3</v>
      </c>
    </row>
    <row r="8" spans="1:16" s="2" customFormat="1" x14ac:dyDescent="0.2">
      <c r="A8" s="25">
        <f t="shared" si="0"/>
        <v>1.1574074074074075E-2</v>
      </c>
      <c r="B8" s="9">
        <f t="shared" si="1"/>
        <v>8.1275720164609056E-4</v>
      </c>
      <c r="C8" s="10">
        <f t="shared" si="1"/>
        <v>1.248070987654321E-3</v>
      </c>
      <c r="D8" s="10">
        <f t="shared" si="1"/>
        <v>1.6718106995884773E-3</v>
      </c>
      <c r="E8" s="10">
        <f t="shared" si="1"/>
        <v>2.118698559670782E-3</v>
      </c>
      <c r="F8" s="10">
        <f t="shared" si="1"/>
        <v>2.5884130658436213E-3</v>
      </c>
      <c r="G8" s="10">
        <f t="shared" si="1"/>
        <v>3.5400591563786005E-3</v>
      </c>
      <c r="H8" s="11">
        <f t="shared" si="1"/>
        <v>4.4804526748971193E-3</v>
      </c>
      <c r="I8" s="9">
        <f t="shared" si="1"/>
        <v>2.4305555555555556E-3</v>
      </c>
      <c r="J8" s="10">
        <f t="shared" si="1"/>
        <v>2.5462962962962961E-3</v>
      </c>
      <c r="K8" s="10">
        <f t="shared" si="1"/>
        <v>2.650462962962963E-3</v>
      </c>
      <c r="L8" s="11">
        <f t="shared" si="2"/>
        <v>3.1250000000000002E-3</v>
      </c>
      <c r="M8" s="9">
        <f t="shared" si="3"/>
        <v>2.6646090534979427E-3</v>
      </c>
      <c r="N8" s="11">
        <f t="shared" si="3"/>
        <v>2.5437242798353908E-3</v>
      </c>
      <c r="P8" s="3">
        <f t="shared" si="4"/>
        <v>4</v>
      </c>
    </row>
    <row r="9" spans="1:16" s="2" customFormat="1" x14ac:dyDescent="0.2">
      <c r="A9" s="25">
        <f t="shared" si="0"/>
        <v>1.1689814814814816E-2</v>
      </c>
      <c r="B9" s="9">
        <f t="shared" si="1"/>
        <v>8.2208076131687249E-4</v>
      </c>
      <c r="C9" s="10">
        <f t="shared" si="1"/>
        <v>1.2620563271604937E-3</v>
      </c>
      <c r="D9" s="10">
        <f t="shared" si="1"/>
        <v>1.690457818930041E-3</v>
      </c>
      <c r="E9" s="10">
        <f t="shared" si="1"/>
        <v>2.1420074588477367E-3</v>
      </c>
      <c r="F9" s="10">
        <f t="shared" si="1"/>
        <v>2.6163033693415634E-3</v>
      </c>
      <c r="G9" s="10">
        <f t="shared" si="1"/>
        <v>3.5772730195473249E-3</v>
      </c>
      <c r="H9" s="11">
        <f t="shared" si="1"/>
        <v>4.527070473251028E-3</v>
      </c>
      <c r="I9" s="9">
        <f t="shared" si="1"/>
        <v>2.453703703703704E-3</v>
      </c>
      <c r="J9" s="10">
        <f t="shared" si="1"/>
        <v>2.5694444444444445E-3</v>
      </c>
      <c r="K9" s="10">
        <f t="shared" si="1"/>
        <v>2.6736111111111114E-3</v>
      </c>
      <c r="L9" s="11">
        <f t="shared" si="2"/>
        <v>3.1481481481481486E-3</v>
      </c>
      <c r="M9" s="9">
        <f t="shared" si="3"/>
        <v>2.6912937242798357E-3</v>
      </c>
      <c r="N9" s="11">
        <f t="shared" si="3"/>
        <v>2.5691229423868314E-3</v>
      </c>
      <c r="P9" s="3">
        <f t="shared" si="4"/>
        <v>5</v>
      </c>
    </row>
    <row r="10" spans="1:16" s="2" customFormat="1" x14ac:dyDescent="0.2">
      <c r="A10" s="25">
        <f t="shared" si="0"/>
        <v>1.1805555555555557E-2</v>
      </c>
      <c r="B10" s="9">
        <f t="shared" si="1"/>
        <v>8.3140432098765442E-4</v>
      </c>
      <c r="C10" s="10">
        <f t="shared" si="1"/>
        <v>1.2760416666666666E-3</v>
      </c>
      <c r="D10" s="10">
        <f t="shared" si="1"/>
        <v>1.7091049382716049E-3</v>
      </c>
      <c r="E10" s="10">
        <f t="shared" si="1"/>
        <v>2.1653163580246911E-3</v>
      </c>
      <c r="F10" s="10">
        <f t="shared" si="1"/>
        <v>2.6441936728395059E-3</v>
      </c>
      <c r="G10" s="10">
        <f t="shared" si="1"/>
        <v>3.6144868827160492E-3</v>
      </c>
      <c r="H10" s="11">
        <f t="shared" si="1"/>
        <v>4.5736882716049376E-3</v>
      </c>
      <c r="I10" s="9">
        <f t="shared" si="1"/>
        <v>2.476851851851852E-3</v>
      </c>
      <c r="J10" s="10">
        <f t="shared" si="1"/>
        <v>2.5925925925925925E-3</v>
      </c>
      <c r="K10" s="10">
        <f t="shared" si="1"/>
        <v>2.6967592592592594E-3</v>
      </c>
      <c r="L10" s="11">
        <f t="shared" si="2"/>
        <v>3.1712962962962966E-3</v>
      </c>
      <c r="M10" s="9">
        <f t="shared" si="3"/>
        <v>2.7179783950617284E-3</v>
      </c>
      <c r="N10" s="11">
        <f t="shared" si="3"/>
        <v>2.5945216049382716E-3</v>
      </c>
      <c r="P10" s="3">
        <f t="shared" si="4"/>
        <v>6</v>
      </c>
    </row>
    <row r="11" spans="1:16" s="2" customFormat="1" x14ac:dyDescent="0.2">
      <c r="A11" s="25">
        <f t="shared" si="0"/>
        <v>1.1921296296296298E-2</v>
      </c>
      <c r="B11" s="9">
        <f t="shared" si="1"/>
        <v>8.4072788065843625E-4</v>
      </c>
      <c r="C11" s="10">
        <f t="shared" si="1"/>
        <v>1.2900270061728396E-3</v>
      </c>
      <c r="D11" s="10">
        <f t="shared" si="1"/>
        <v>1.7277520576131685E-3</v>
      </c>
      <c r="E11" s="10">
        <f t="shared" si="1"/>
        <v>2.1886252572016459E-3</v>
      </c>
      <c r="F11" s="10">
        <f t="shared" si="1"/>
        <v>2.6720839763374484E-3</v>
      </c>
      <c r="G11" s="10">
        <f t="shared" si="1"/>
        <v>3.6517007458847736E-3</v>
      </c>
      <c r="H11" s="11">
        <f t="shared" si="1"/>
        <v>4.6203060699588471E-3</v>
      </c>
      <c r="I11" s="9">
        <f t="shared" si="1"/>
        <v>2.5000000000000001E-3</v>
      </c>
      <c r="J11" s="10">
        <f t="shared" si="1"/>
        <v>2.6157407407407405E-3</v>
      </c>
      <c r="K11" s="10">
        <f t="shared" si="1"/>
        <v>2.7199074074074074E-3</v>
      </c>
      <c r="L11" s="11">
        <f t="shared" si="2"/>
        <v>3.1944444444444446E-3</v>
      </c>
      <c r="M11" s="9">
        <f t="shared" si="3"/>
        <v>2.7446630658436214E-3</v>
      </c>
      <c r="N11" s="11">
        <f t="shared" si="3"/>
        <v>2.6199202674897118E-3</v>
      </c>
      <c r="P11" s="3">
        <f t="shared" si="4"/>
        <v>7</v>
      </c>
    </row>
    <row r="12" spans="1:16" s="2" customFormat="1" x14ac:dyDescent="0.2">
      <c r="A12" s="25">
        <f t="shared" si="0"/>
        <v>1.2037037037037039E-2</v>
      </c>
      <c r="B12" s="9">
        <f t="shared" si="1"/>
        <v>8.5005144032921818E-4</v>
      </c>
      <c r="C12" s="10">
        <f t="shared" si="1"/>
        <v>1.3040123456790123E-3</v>
      </c>
      <c r="D12" s="10">
        <f t="shared" si="1"/>
        <v>1.7463991769547324E-3</v>
      </c>
      <c r="E12" s="10">
        <f t="shared" si="1"/>
        <v>2.2119341563786006E-3</v>
      </c>
      <c r="F12" s="10">
        <f t="shared" si="1"/>
        <v>2.6999742798353905E-3</v>
      </c>
      <c r="G12" s="10">
        <f t="shared" si="1"/>
        <v>3.6889146090534979E-3</v>
      </c>
      <c r="H12" s="11">
        <f t="shared" si="1"/>
        <v>4.6669238683127567E-3</v>
      </c>
      <c r="I12" s="9">
        <f t="shared" si="1"/>
        <v>2.5231481481481485E-3</v>
      </c>
      <c r="J12" s="10">
        <f t="shared" si="1"/>
        <v>2.638888888888889E-3</v>
      </c>
      <c r="K12" s="10">
        <f t="shared" si="1"/>
        <v>2.7430555555555559E-3</v>
      </c>
      <c r="L12" s="11">
        <f t="shared" si="2"/>
        <v>3.2175925925925931E-3</v>
      </c>
      <c r="M12" s="9">
        <f t="shared" si="3"/>
        <v>2.7713477366255145E-3</v>
      </c>
      <c r="N12" s="11">
        <f t="shared" si="3"/>
        <v>2.6453189300411524E-3</v>
      </c>
      <c r="P12" s="3">
        <f t="shared" si="4"/>
        <v>8</v>
      </c>
    </row>
    <row r="13" spans="1:16" s="2" customFormat="1" x14ac:dyDescent="0.2">
      <c r="A13" s="25">
        <f t="shared" si="0"/>
        <v>1.215277777777778E-2</v>
      </c>
      <c r="B13" s="9">
        <f t="shared" si="1"/>
        <v>8.5937500000000011E-4</v>
      </c>
      <c r="C13" s="10">
        <f t="shared" si="1"/>
        <v>1.3179976851851851E-3</v>
      </c>
      <c r="D13" s="10">
        <f t="shared" si="1"/>
        <v>1.7650462962962962E-3</v>
      </c>
      <c r="E13" s="10">
        <f t="shared" si="1"/>
        <v>2.2352430555555554E-3</v>
      </c>
      <c r="F13" s="10">
        <f t="shared" si="1"/>
        <v>2.727864583333333E-3</v>
      </c>
      <c r="G13" s="10">
        <f t="shared" si="1"/>
        <v>3.7261284722222218E-3</v>
      </c>
      <c r="H13" s="11">
        <f t="shared" si="1"/>
        <v>4.7135416666666662E-3</v>
      </c>
      <c r="I13" s="9">
        <f t="shared" si="1"/>
        <v>2.5462962962962965E-3</v>
      </c>
      <c r="J13" s="10">
        <f t="shared" si="1"/>
        <v>2.662037037037037E-3</v>
      </c>
      <c r="K13" s="10">
        <f t="shared" si="1"/>
        <v>2.7662037037037039E-3</v>
      </c>
      <c r="L13" s="11">
        <f t="shared" si="2"/>
        <v>3.2407407407407411E-3</v>
      </c>
      <c r="M13" s="9">
        <f t="shared" si="3"/>
        <v>2.7980324074074075E-3</v>
      </c>
      <c r="N13" s="11">
        <f t="shared" si="3"/>
        <v>2.6707175925925926E-3</v>
      </c>
      <c r="P13" s="3">
        <f t="shared" si="4"/>
        <v>9</v>
      </c>
    </row>
    <row r="14" spans="1:16" s="2" customFormat="1" x14ac:dyDescent="0.2">
      <c r="A14" s="25">
        <f t="shared" si="0"/>
        <v>1.2268518518518521E-2</v>
      </c>
      <c r="B14" s="9">
        <f t="shared" si="1"/>
        <v>8.6869855967078194E-4</v>
      </c>
      <c r="C14" s="10">
        <f t="shared" si="1"/>
        <v>1.331983024691358E-3</v>
      </c>
      <c r="D14" s="10">
        <f t="shared" si="1"/>
        <v>1.7836934156378599E-3</v>
      </c>
      <c r="E14" s="10">
        <f t="shared" si="1"/>
        <v>2.2585519547325102E-3</v>
      </c>
      <c r="F14" s="10">
        <f t="shared" si="1"/>
        <v>2.7557548868312755E-3</v>
      </c>
      <c r="G14" s="10">
        <f t="shared" si="1"/>
        <v>3.7633423353909462E-3</v>
      </c>
      <c r="H14" s="11">
        <f t="shared" si="1"/>
        <v>4.7601594650205758E-3</v>
      </c>
      <c r="I14" s="9">
        <f t="shared" si="1"/>
        <v>2.5694444444444445E-3</v>
      </c>
      <c r="J14" s="10">
        <f t="shared" si="1"/>
        <v>2.685185185185185E-3</v>
      </c>
      <c r="K14" s="10">
        <f t="shared" si="1"/>
        <v>2.7893518518518519E-3</v>
      </c>
      <c r="L14" s="11">
        <f t="shared" si="2"/>
        <v>3.2638888888888891E-3</v>
      </c>
      <c r="M14" s="9">
        <f t="shared" si="3"/>
        <v>2.8247170781893005E-3</v>
      </c>
      <c r="N14" s="11">
        <f t="shared" si="3"/>
        <v>2.6961162551440328E-3</v>
      </c>
      <c r="P14" s="3">
        <f t="shared" si="4"/>
        <v>10</v>
      </c>
    </row>
    <row r="15" spans="1:16" s="2" customFormat="1" x14ac:dyDescent="0.2">
      <c r="A15" s="25">
        <f t="shared" si="0"/>
        <v>1.2384259259259262E-2</v>
      </c>
      <c r="B15" s="9">
        <f t="shared" ref="B15:K24" si="5">B$4+$P15*B$3</f>
        <v>8.7802211934156387E-4</v>
      </c>
      <c r="C15" s="10">
        <f t="shared" si="5"/>
        <v>1.345968364197531E-3</v>
      </c>
      <c r="D15" s="10">
        <f t="shared" si="5"/>
        <v>1.8023405349794238E-3</v>
      </c>
      <c r="E15" s="10">
        <f t="shared" si="5"/>
        <v>2.281860853909465E-3</v>
      </c>
      <c r="F15" s="10">
        <f t="shared" si="5"/>
        <v>2.7836451903292181E-3</v>
      </c>
      <c r="G15" s="10">
        <f t="shared" si="5"/>
        <v>3.8005561985596705E-3</v>
      </c>
      <c r="H15" s="11">
        <f t="shared" si="5"/>
        <v>4.8067772633744853E-3</v>
      </c>
      <c r="I15" s="9">
        <f t="shared" si="5"/>
        <v>2.5925925925925925E-3</v>
      </c>
      <c r="J15" s="10">
        <f t="shared" si="5"/>
        <v>2.7083333333333334E-3</v>
      </c>
      <c r="K15" s="10">
        <f t="shared" si="5"/>
        <v>2.8124999999999999E-3</v>
      </c>
      <c r="L15" s="11">
        <f t="shared" si="2"/>
        <v>3.2870370370370371E-3</v>
      </c>
      <c r="M15" s="9">
        <f t="shared" si="3"/>
        <v>2.8514017489711936E-3</v>
      </c>
      <c r="N15" s="11">
        <f t="shared" si="3"/>
        <v>2.721514917695473E-3</v>
      </c>
      <c r="P15" s="3">
        <f t="shared" si="4"/>
        <v>11</v>
      </c>
    </row>
    <row r="16" spans="1:16" s="2" customFormat="1" x14ac:dyDescent="0.2">
      <c r="A16" s="25">
        <f t="shared" si="0"/>
        <v>1.2500000000000002E-2</v>
      </c>
      <c r="B16" s="9">
        <f t="shared" si="5"/>
        <v>8.8734567901234569E-4</v>
      </c>
      <c r="C16" s="10">
        <f t="shared" si="5"/>
        <v>1.3599537037037037E-3</v>
      </c>
      <c r="D16" s="10">
        <f t="shared" si="5"/>
        <v>1.8209876543209876E-3</v>
      </c>
      <c r="E16" s="10">
        <f t="shared" si="5"/>
        <v>2.3051697530864198E-3</v>
      </c>
      <c r="F16" s="10">
        <f t="shared" si="5"/>
        <v>2.8115354938271601E-3</v>
      </c>
      <c r="G16" s="10">
        <f t="shared" si="5"/>
        <v>3.8377700617283949E-3</v>
      </c>
      <c r="H16" s="11">
        <f t="shared" si="5"/>
        <v>4.8533950617283949E-3</v>
      </c>
      <c r="I16" s="9">
        <f t="shared" si="5"/>
        <v>2.615740740740741E-3</v>
      </c>
      <c r="J16" s="10">
        <f t="shared" si="5"/>
        <v>2.7314814814814814E-3</v>
      </c>
      <c r="K16" s="10">
        <f t="shared" si="5"/>
        <v>2.8356481481481483E-3</v>
      </c>
      <c r="L16" s="11">
        <f t="shared" si="2"/>
        <v>3.3101851851851855E-3</v>
      </c>
      <c r="M16" s="9">
        <f t="shared" si="3"/>
        <v>2.8780864197530866E-3</v>
      </c>
      <c r="N16" s="11">
        <f t="shared" si="3"/>
        <v>2.7469135802469136E-3</v>
      </c>
      <c r="P16" s="3">
        <f t="shared" si="4"/>
        <v>12</v>
      </c>
    </row>
    <row r="17" spans="1:16" s="2" customFormat="1" x14ac:dyDescent="0.2">
      <c r="A17" s="25">
        <f t="shared" si="0"/>
        <v>1.2615740740740743E-2</v>
      </c>
      <c r="B17" s="9">
        <f t="shared" si="5"/>
        <v>8.9666923868312763E-4</v>
      </c>
      <c r="C17" s="10">
        <f t="shared" si="5"/>
        <v>1.3739390432098765E-3</v>
      </c>
      <c r="D17" s="10">
        <f t="shared" si="5"/>
        <v>1.8396347736625513E-3</v>
      </c>
      <c r="E17" s="10">
        <f t="shared" si="5"/>
        <v>2.3284786522633745E-3</v>
      </c>
      <c r="F17" s="10">
        <f t="shared" si="5"/>
        <v>2.8394257973251027E-3</v>
      </c>
      <c r="G17" s="10">
        <f t="shared" si="5"/>
        <v>3.8749839248971192E-3</v>
      </c>
      <c r="H17" s="11">
        <f t="shared" si="5"/>
        <v>4.9000128600823045E-3</v>
      </c>
      <c r="I17" s="9">
        <f t="shared" si="5"/>
        <v>2.638888888888889E-3</v>
      </c>
      <c r="J17" s="10">
        <f t="shared" si="5"/>
        <v>2.7546296296296294E-3</v>
      </c>
      <c r="K17" s="10">
        <f t="shared" si="5"/>
        <v>2.8587962962962963E-3</v>
      </c>
      <c r="L17" s="11">
        <f t="shared" si="2"/>
        <v>3.3333333333333335E-3</v>
      </c>
      <c r="M17" s="9">
        <f t="shared" si="3"/>
        <v>2.9047710905349797E-3</v>
      </c>
      <c r="N17" s="11">
        <f t="shared" si="3"/>
        <v>2.7723122427983538E-3</v>
      </c>
      <c r="P17" s="3">
        <f t="shared" si="4"/>
        <v>13</v>
      </c>
    </row>
    <row r="18" spans="1:16" s="2" customFormat="1" x14ac:dyDescent="0.2">
      <c r="A18" s="25">
        <f t="shared" si="0"/>
        <v>1.2731481481481484E-2</v>
      </c>
      <c r="B18" s="9">
        <f t="shared" si="5"/>
        <v>9.0599279835390945E-4</v>
      </c>
      <c r="C18" s="10">
        <f t="shared" si="5"/>
        <v>1.3879243827160494E-3</v>
      </c>
      <c r="D18" s="10">
        <f t="shared" si="5"/>
        <v>1.8582818930041151E-3</v>
      </c>
      <c r="E18" s="10">
        <f t="shared" si="5"/>
        <v>2.3517875514403293E-3</v>
      </c>
      <c r="F18" s="10">
        <f t="shared" si="5"/>
        <v>2.8673161008230452E-3</v>
      </c>
      <c r="G18" s="10">
        <f t="shared" si="5"/>
        <v>3.9121977880658436E-3</v>
      </c>
      <c r="H18" s="11">
        <f t="shared" si="5"/>
        <v>4.946630658436214E-3</v>
      </c>
      <c r="I18" s="9">
        <f t="shared" si="5"/>
        <v>2.6620370370370374E-3</v>
      </c>
      <c r="J18" s="10">
        <f t="shared" si="5"/>
        <v>2.7777777777777775E-3</v>
      </c>
      <c r="K18" s="10">
        <f t="shared" si="5"/>
        <v>2.8819444444444448E-3</v>
      </c>
      <c r="L18" s="11">
        <f t="shared" si="2"/>
        <v>3.356481481481482E-3</v>
      </c>
      <c r="M18" s="9">
        <f t="shared" si="3"/>
        <v>2.9314557613168727E-3</v>
      </c>
      <c r="N18" s="11">
        <f t="shared" si="3"/>
        <v>2.797710905349794E-3</v>
      </c>
      <c r="P18" s="3">
        <f t="shared" si="4"/>
        <v>14</v>
      </c>
    </row>
    <row r="19" spans="1:16" s="2" customFormat="1" x14ac:dyDescent="0.2">
      <c r="A19" s="25">
        <f t="shared" si="0"/>
        <v>1.2847222222222225E-2</v>
      </c>
      <c r="B19" s="9">
        <f t="shared" si="5"/>
        <v>9.1531635802469139E-4</v>
      </c>
      <c r="C19" s="10">
        <f t="shared" si="5"/>
        <v>1.4019097222222224E-3</v>
      </c>
      <c r="D19" s="10">
        <f t="shared" si="5"/>
        <v>1.876929012345679E-3</v>
      </c>
      <c r="E19" s="10">
        <f t="shared" si="5"/>
        <v>2.3750964506172841E-3</v>
      </c>
      <c r="F19" s="10">
        <f t="shared" si="5"/>
        <v>2.8952064043209873E-3</v>
      </c>
      <c r="G19" s="10">
        <f t="shared" si="5"/>
        <v>3.9494116512345679E-3</v>
      </c>
      <c r="H19" s="11">
        <f t="shared" si="5"/>
        <v>4.9932484567901236E-3</v>
      </c>
      <c r="I19" s="9">
        <f t="shared" si="5"/>
        <v>2.6851851851851854E-3</v>
      </c>
      <c r="J19" s="10">
        <f t="shared" si="5"/>
        <v>2.8009259259259259E-3</v>
      </c>
      <c r="K19" s="10">
        <f t="shared" si="5"/>
        <v>2.9050925925925928E-3</v>
      </c>
      <c r="L19" s="11">
        <f t="shared" si="2"/>
        <v>3.37962962962963E-3</v>
      </c>
      <c r="M19" s="9">
        <f t="shared" si="3"/>
        <v>2.9581404320987654E-3</v>
      </c>
      <c r="N19" s="11">
        <f t="shared" si="3"/>
        <v>2.8231095679012346E-3</v>
      </c>
      <c r="P19" s="3">
        <f t="shared" si="4"/>
        <v>15</v>
      </c>
    </row>
    <row r="20" spans="1:16" s="2" customFormat="1" x14ac:dyDescent="0.2">
      <c r="A20" s="25">
        <f t="shared" si="0"/>
        <v>1.2962962962962966E-2</v>
      </c>
      <c r="B20" s="9">
        <f t="shared" si="5"/>
        <v>9.2463991769547332E-4</v>
      </c>
      <c r="C20" s="10">
        <f t="shared" si="5"/>
        <v>1.4158950617283951E-3</v>
      </c>
      <c r="D20" s="10">
        <f t="shared" si="5"/>
        <v>1.8955761316872427E-3</v>
      </c>
      <c r="E20" s="10">
        <f t="shared" si="5"/>
        <v>2.3984053497942389E-3</v>
      </c>
      <c r="F20" s="10">
        <f t="shared" si="5"/>
        <v>2.9230967078189298E-3</v>
      </c>
      <c r="G20" s="10">
        <f t="shared" si="5"/>
        <v>3.9866255144032922E-3</v>
      </c>
      <c r="H20" s="11">
        <f t="shared" si="5"/>
        <v>5.0398662551440323E-3</v>
      </c>
      <c r="I20" s="9">
        <f t="shared" si="5"/>
        <v>2.7083333333333334E-3</v>
      </c>
      <c r="J20" s="10">
        <f t="shared" si="5"/>
        <v>2.8240740740740739E-3</v>
      </c>
      <c r="K20" s="10">
        <f t="shared" si="5"/>
        <v>2.9282407407407408E-3</v>
      </c>
      <c r="L20" s="11">
        <f t="shared" si="2"/>
        <v>3.402777777777778E-3</v>
      </c>
      <c r="M20" s="9">
        <f t="shared" si="3"/>
        <v>2.9848251028806584E-3</v>
      </c>
      <c r="N20" s="11">
        <f t="shared" si="3"/>
        <v>2.8485082304526748E-3</v>
      </c>
      <c r="P20" s="3">
        <f t="shared" si="4"/>
        <v>16</v>
      </c>
    </row>
    <row r="21" spans="1:16" s="2" customFormat="1" x14ac:dyDescent="0.2">
      <c r="A21" s="25">
        <f t="shared" si="0"/>
        <v>1.3078703703703707E-2</v>
      </c>
      <c r="B21" s="9">
        <f t="shared" si="5"/>
        <v>9.3396347736625514E-4</v>
      </c>
      <c r="C21" s="10">
        <f t="shared" si="5"/>
        <v>1.4298804012345678E-3</v>
      </c>
      <c r="D21" s="10">
        <f t="shared" si="5"/>
        <v>1.9142232510288065E-3</v>
      </c>
      <c r="E21" s="10">
        <f t="shared" si="5"/>
        <v>2.4217142489711932E-3</v>
      </c>
      <c r="F21" s="10">
        <f t="shared" si="5"/>
        <v>2.9509870113168723E-3</v>
      </c>
      <c r="G21" s="10">
        <f t="shared" si="5"/>
        <v>4.0238393775720166E-3</v>
      </c>
      <c r="H21" s="11">
        <f t="shared" si="5"/>
        <v>5.0864840534979418E-3</v>
      </c>
      <c r="I21" s="9">
        <f t="shared" si="5"/>
        <v>2.7314814814814814E-3</v>
      </c>
      <c r="J21" s="10">
        <f t="shared" si="5"/>
        <v>2.8472222222222223E-3</v>
      </c>
      <c r="K21" s="10">
        <f t="shared" si="5"/>
        <v>2.9513888888888888E-3</v>
      </c>
      <c r="L21" s="11">
        <f t="shared" si="2"/>
        <v>3.425925925925926E-3</v>
      </c>
      <c r="M21" s="9">
        <f t="shared" si="3"/>
        <v>3.0115097736625514E-3</v>
      </c>
      <c r="N21" s="11">
        <f t="shared" si="3"/>
        <v>2.873906893004115E-3</v>
      </c>
      <c r="P21" s="3">
        <f t="shared" si="4"/>
        <v>17</v>
      </c>
    </row>
    <row r="22" spans="1:16" s="2" customFormat="1" x14ac:dyDescent="0.2">
      <c r="A22" s="25">
        <f t="shared" si="0"/>
        <v>1.3194444444444448E-2</v>
      </c>
      <c r="B22" s="9">
        <f t="shared" si="5"/>
        <v>9.4328703703703708E-4</v>
      </c>
      <c r="C22" s="10">
        <f t="shared" si="5"/>
        <v>1.4438657407407408E-3</v>
      </c>
      <c r="D22" s="10">
        <f t="shared" si="5"/>
        <v>1.9328703703703704E-3</v>
      </c>
      <c r="E22" s="10">
        <f t="shared" si="5"/>
        <v>2.445023148148148E-3</v>
      </c>
      <c r="F22" s="10">
        <f t="shared" si="5"/>
        <v>2.9788773148148144E-3</v>
      </c>
      <c r="G22" s="10">
        <f t="shared" si="5"/>
        <v>4.0610532407407401E-3</v>
      </c>
      <c r="H22" s="11">
        <f t="shared" si="5"/>
        <v>5.1331018518518514E-3</v>
      </c>
      <c r="I22" s="9">
        <f t="shared" si="5"/>
        <v>2.7546296296296299E-3</v>
      </c>
      <c r="J22" s="10">
        <f t="shared" si="5"/>
        <v>2.8703703703703703E-3</v>
      </c>
      <c r="K22" s="10">
        <f t="shared" si="5"/>
        <v>2.9745370370370373E-3</v>
      </c>
      <c r="L22" s="11">
        <f t="shared" si="2"/>
        <v>3.4490740740740745E-3</v>
      </c>
      <c r="M22" s="9">
        <f t="shared" si="3"/>
        <v>3.0381944444444445E-3</v>
      </c>
      <c r="N22" s="11">
        <f t="shared" si="3"/>
        <v>2.8993055555555556E-3</v>
      </c>
      <c r="P22" s="3">
        <f t="shared" si="4"/>
        <v>18</v>
      </c>
    </row>
    <row r="23" spans="1:16" s="2" customFormat="1" x14ac:dyDescent="0.2">
      <c r="A23" s="25">
        <f t="shared" si="0"/>
        <v>1.3310185185185189E-2</v>
      </c>
      <c r="B23" s="9">
        <f t="shared" si="5"/>
        <v>9.5261059670781901E-4</v>
      </c>
      <c r="C23" s="10">
        <f t="shared" si="5"/>
        <v>1.4578510802469137E-3</v>
      </c>
      <c r="D23" s="10">
        <f t="shared" si="5"/>
        <v>1.951517489711934E-3</v>
      </c>
      <c r="E23" s="10">
        <f t="shared" si="5"/>
        <v>2.4683320473251028E-3</v>
      </c>
      <c r="F23" s="10">
        <f t="shared" si="5"/>
        <v>3.0067676183127569E-3</v>
      </c>
      <c r="G23" s="10">
        <f t="shared" si="5"/>
        <v>4.0982671039094644E-3</v>
      </c>
      <c r="H23" s="11">
        <f t="shared" si="5"/>
        <v>5.1797196502057609E-3</v>
      </c>
      <c r="I23" s="9">
        <f t="shared" si="5"/>
        <v>2.7777777777777779E-3</v>
      </c>
      <c r="J23" s="10">
        <f t="shared" si="5"/>
        <v>2.8935185185185184E-3</v>
      </c>
      <c r="K23" s="10">
        <f t="shared" si="5"/>
        <v>2.9976851851851853E-3</v>
      </c>
      <c r="L23" s="11">
        <f t="shared" si="2"/>
        <v>3.4722222222222225E-3</v>
      </c>
      <c r="M23" s="9">
        <f t="shared" si="3"/>
        <v>3.0648791152263375E-3</v>
      </c>
      <c r="N23" s="11">
        <f t="shared" si="3"/>
        <v>2.9247042181069958E-3</v>
      </c>
      <c r="P23" s="3">
        <f t="shared" si="4"/>
        <v>19</v>
      </c>
    </row>
    <row r="24" spans="1:16" s="2" customFormat="1" x14ac:dyDescent="0.2">
      <c r="A24" s="25">
        <f t="shared" si="0"/>
        <v>1.342592592592593E-2</v>
      </c>
      <c r="B24" s="9">
        <f t="shared" si="5"/>
        <v>9.6193415637860083E-4</v>
      </c>
      <c r="C24" s="10">
        <f t="shared" si="5"/>
        <v>1.4718364197530865E-3</v>
      </c>
      <c r="D24" s="10">
        <f t="shared" si="5"/>
        <v>1.9701646090534977E-3</v>
      </c>
      <c r="E24" s="10">
        <f t="shared" si="5"/>
        <v>2.4916409465020575E-3</v>
      </c>
      <c r="F24" s="10">
        <f t="shared" si="5"/>
        <v>3.0346579218106995E-3</v>
      </c>
      <c r="G24" s="10">
        <f t="shared" si="5"/>
        <v>4.1354809670781888E-3</v>
      </c>
      <c r="H24" s="11">
        <f t="shared" si="5"/>
        <v>5.2263374485596705E-3</v>
      </c>
      <c r="I24" s="9">
        <f t="shared" si="5"/>
        <v>2.8009259259259259E-3</v>
      </c>
      <c r="J24" s="10">
        <f t="shared" si="5"/>
        <v>2.9166666666666664E-3</v>
      </c>
      <c r="K24" s="10">
        <f t="shared" si="5"/>
        <v>3.0208333333333333E-3</v>
      </c>
      <c r="L24" s="11">
        <f t="shared" si="2"/>
        <v>3.4953703703703705E-3</v>
      </c>
      <c r="M24" s="9">
        <f t="shared" si="3"/>
        <v>3.0915637860082306E-3</v>
      </c>
      <c r="N24" s="11">
        <f t="shared" si="3"/>
        <v>2.950102880658436E-3</v>
      </c>
      <c r="P24" s="3">
        <f t="shared" si="4"/>
        <v>20</v>
      </c>
    </row>
    <row r="25" spans="1:16" s="2" customFormat="1" x14ac:dyDescent="0.2">
      <c r="A25" s="25">
        <f t="shared" si="0"/>
        <v>1.3541666666666671E-2</v>
      </c>
      <c r="B25" s="9">
        <f t="shared" ref="B25:K34" si="6">B$4+$P25*B$3</f>
        <v>9.7125771604938277E-4</v>
      </c>
      <c r="C25" s="10">
        <f t="shared" si="6"/>
        <v>1.4858217592592592E-3</v>
      </c>
      <c r="D25" s="10">
        <f t="shared" si="6"/>
        <v>1.9888117283950618E-3</v>
      </c>
      <c r="E25" s="10">
        <f t="shared" si="6"/>
        <v>2.5149498456790123E-3</v>
      </c>
      <c r="F25" s="10">
        <f t="shared" si="6"/>
        <v>3.0625482253086415E-3</v>
      </c>
      <c r="G25" s="10">
        <f t="shared" si="6"/>
        <v>4.1726948302469131E-3</v>
      </c>
      <c r="H25" s="11">
        <f t="shared" si="6"/>
        <v>5.27295524691358E-3</v>
      </c>
      <c r="I25" s="9">
        <f t="shared" si="6"/>
        <v>2.8240740740740743E-3</v>
      </c>
      <c r="J25" s="10">
        <f t="shared" si="6"/>
        <v>2.9398148148148148E-3</v>
      </c>
      <c r="K25" s="10">
        <f t="shared" si="6"/>
        <v>3.0439814814814817E-3</v>
      </c>
      <c r="L25" s="11">
        <f t="shared" si="2"/>
        <v>3.5185185185185189E-3</v>
      </c>
      <c r="M25" s="9">
        <f t="shared" si="3"/>
        <v>3.1182484567901236E-3</v>
      </c>
      <c r="N25" s="11">
        <f t="shared" si="3"/>
        <v>2.9755015432098766E-3</v>
      </c>
      <c r="P25" s="3">
        <f t="shared" si="4"/>
        <v>21</v>
      </c>
    </row>
    <row r="26" spans="1:16" s="2" customFormat="1" x14ac:dyDescent="0.2">
      <c r="A26" s="25">
        <f t="shared" si="0"/>
        <v>1.3657407407407412E-2</v>
      </c>
      <c r="B26" s="9">
        <f t="shared" si="6"/>
        <v>9.805812757201647E-4</v>
      </c>
      <c r="C26" s="10">
        <f t="shared" si="6"/>
        <v>1.4998070987654322E-3</v>
      </c>
      <c r="D26" s="10">
        <f t="shared" si="6"/>
        <v>2.0074588477366254E-3</v>
      </c>
      <c r="E26" s="10">
        <f t="shared" si="6"/>
        <v>2.5382587448559671E-3</v>
      </c>
      <c r="F26" s="10">
        <f t="shared" si="6"/>
        <v>3.0904385288065841E-3</v>
      </c>
      <c r="G26" s="10">
        <f t="shared" si="6"/>
        <v>4.2099086934156375E-3</v>
      </c>
      <c r="H26" s="11">
        <f t="shared" si="6"/>
        <v>5.3195730452674896E-3</v>
      </c>
      <c r="I26" s="9">
        <f t="shared" si="6"/>
        <v>2.8472222222222223E-3</v>
      </c>
      <c r="J26" s="10">
        <f t="shared" si="6"/>
        <v>2.9629629629629628E-3</v>
      </c>
      <c r="K26" s="10">
        <f t="shared" si="6"/>
        <v>3.0671296296296297E-3</v>
      </c>
      <c r="L26" s="11">
        <f t="shared" si="2"/>
        <v>3.5416666666666669E-3</v>
      </c>
      <c r="M26" s="9">
        <f t="shared" si="3"/>
        <v>3.1449331275720167E-3</v>
      </c>
      <c r="N26" s="11">
        <f t="shared" si="3"/>
        <v>3.0009002057613168E-3</v>
      </c>
      <c r="P26" s="3">
        <f t="shared" si="4"/>
        <v>22</v>
      </c>
    </row>
    <row r="27" spans="1:16" s="2" customFormat="1" x14ac:dyDescent="0.2">
      <c r="A27" s="25">
        <f t="shared" si="0"/>
        <v>1.3773148148148152E-2</v>
      </c>
      <c r="B27" s="9">
        <f t="shared" si="6"/>
        <v>9.8990483539094652E-4</v>
      </c>
      <c r="C27" s="10">
        <f t="shared" si="6"/>
        <v>1.5137924382716051E-3</v>
      </c>
      <c r="D27" s="10">
        <f t="shared" si="6"/>
        <v>2.0261059670781891E-3</v>
      </c>
      <c r="E27" s="10">
        <f t="shared" si="6"/>
        <v>2.5615676440329219E-3</v>
      </c>
      <c r="F27" s="10">
        <f t="shared" si="6"/>
        <v>3.1183288323045266E-3</v>
      </c>
      <c r="G27" s="10">
        <f t="shared" si="6"/>
        <v>4.2471225565843618E-3</v>
      </c>
      <c r="H27" s="11">
        <f t="shared" si="6"/>
        <v>5.3661908436213991E-3</v>
      </c>
      <c r="I27" s="9">
        <f t="shared" si="6"/>
        <v>2.8703703703703703E-3</v>
      </c>
      <c r="J27" s="10">
        <f t="shared" si="6"/>
        <v>2.9861111111111108E-3</v>
      </c>
      <c r="K27" s="10">
        <f t="shared" si="6"/>
        <v>3.0902777777777777E-3</v>
      </c>
      <c r="L27" s="11">
        <f t="shared" si="2"/>
        <v>3.5648148148148149E-3</v>
      </c>
      <c r="M27" s="9">
        <f t="shared" si="3"/>
        <v>3.1716177983539097E-3</v>
      </c>
      <c r="N27" s="11">
        <f t="shared" si="3"/>
        <v>3.0262988683127569E-3</v>
      </c>
      <c r="P27" s="3">
        <f t="shared" si="4"/>
        <v>23</v>
      </c>
    </row>
    <row r="28" spans="1:16" s="2" customFormat="1" x14ac:dyDescent="0.2">
      <c r="A28" s="25">
        <f t="shared" si="0"/>
        <v>1.3888888888888893E-2</v>
      </c>
      <c r="B28" s="9">
        <f t="shared" si="6"/>
        <v>9.9922839506172835E-4</v>
      </c>
      <c r="C28" s="10">
        <f t="shared" si="6"/>
        <v>1.5277777777777779E-3</v>
      </c>
      <c r="D28" s="10">
        <f t="shared" si="6"/>
        <v>2.0447530864197531E-3</v>
      </c>
      <c r="E28" s="10">
        <f t="shared" si="6"/>
        <v>2.5848765432098767E-3</v>
      </c>
      <c r="F28" s="10">
        <f t="shared" si="6"/>
        <v>3.1462191358024687E-3</v>
      </c>
      <c r="G28" s="10">
        <f t="shared" si="6"/>
        <v>4.2843364197530862E-3</v>
      </c>
      <c r="H28" s="11">
        <f t="shared" si="6"/>
        <v>5.4128086419753078E-3</v>
      </c>
      <c r="I28" s="9">
        <f t="shared" si="6"/>
        <v>2.8935185185185188E-3</v>
      </c>
      <c r="J28" s="10">
        <f t="shared" si="6"/>
        <v>3.0092592592592593E-3</v>
      </c>
      <c r="K28" s="10">
        <f t="shared" si="6"/>
        <v>3.1134259259259262E-3</v>
      </c>
      <c r="L28" s="11">
        <f t="shared" si="2"/>
        <v>3.5879629629629634E-3</v>
      </c>
      <c r="M28" s="9">
        <f t="shared" si="3"/>
        <v>3.1983024691358023E-3</v>
      </c>
      <c r="N28" s="11">
        <f t="shared" si="3"/>
        <v>3.0516975308641971E-3</v>
      </c>
      <c r="P28" s="3">
        <f t="shared" si="4"/>
        <v>24</v>
      </c>
    </row>
    <row r="29" spans="1:16" s="2" customFormat="1" x14ac:dyDescent="0.2">
      <c r="A29" s="25">
        <f t="shared" si="0"/>
        <v>1.4004629629629634E-2</v>
      </c>
      <c r="B29" s="9">
        <f t="shared" si="6"/>
        <v>1.0085519547325104E-3</v>
      </c>
      <c r="C29" s="10">
        <f t="shared" si="6"/>
        <v>1.5417631172839506E-3</v>
      </c>
      <c r="D29" s="10">
        <f t="shared" si="6"/>
        <v>2.0634002057613168E-3</v>
      </c>
      <c r="E29" s="10">
        <f t="shared" si="6"/>
        <v>2.6081854423868314E-3</v>
      </c>
      <c r="F29" s="10">
        <f t="shared" si="6"/>
        <v>3.1741094393004112E-3</v>
      </c>
      <c r="G29" s="10">
        <f t="shared" si="6"/>
        <v>4.3215502829218105E-3</v>
      </c>
      <c r="H29" s="11">
        <f t="shared" si="6"/>
        <v>5.4594264403292174E-3</v>
      </c>
      <c r="I29" s="9">
        <f t="shared" si="6"/>
        <v>2.9166666666666668E-3</v>
      </c>
      <c r="J29" s="10">
        <f t="shared" si="6"/>
        <v>3.0324074074074073E-3</v>
      </c>
      <c r="K29" s="10">
        <f t="shared" si="6"/>
        <v>3.1365740740740742E-3</v>
      </c>
      <c r="L29" s="11">
        <f t="shared" si="2"/>
        <v>3.6111111111111114E-3</v>
      </c>
      <c r="M29" s="9">
        <f t="shared" si="3"/>
        <v>3.2249871399176958E-3</v>
      </c>
      <c r="N29" s="11">
        <f t="shared" si="3"/>
        <v>3.0770961934156378E-3</v>
      </c>
      <c r="P29" s="3">
        <f t="shared" si="4"/>
        <v>25</v>
      </c>
    </row>
    <row r="30" spans="1:16" s="2" customFormat="1" x14ac:dyDescent="0.2">
      <c r="A30" s="25">
        <f t="shared" si="0"/>
        <v>1.4120370370370375E-2</v>
      </c>
      <c r="B30" s="9">
        <f t="shared" si="6"/>
        <v>1.0178755144032922E-3</v>
      </c>
      <c r="C30" s="10">
        <f t="shared" si="6"/>
        <v>1.5557484567901235E-3</v>
      </c>
      <c r="D30" s="10">
        <f t="shared" si="6"/>
        <v>2.0820473251028804E-3</v>
      </c>
      <c r="E30" s="10">
        <f t="shared" si="6"/>
        <v>2.6314943415637858E-3</v>
      </c>
      <c r="F30" s="10">
        <f t="shared" si="6"/>
        <v>3.2019997427983537E-3</v>
      </c>
      <c r="G30" s="10">
        <f t="shared" si="6"/>
        <v>4.3587641460905348E-3</v>
      </c>
      <c r="H30" s="11">
        <f t="shared" si="6"/>
        <v>5.506044238683127E-3</v>
      </c>
      <c r="I30" s="9">
        <f t="shared" si="6"/>
        <v>2.9398148148148148E-3</v>
      </c>
      <c r="J30" s="10">
        <f t="shared" si="6"/>
        <v>3.0555555555555553E-3</v>
      </c>
      <c r="K30" s="10">
        <f t="shared" si="6"/>
        <v>3.1597222222222222E-3</v>
      </c>
      <c r="L30" s="11">
        <f t="shared" si="2"/>
        <v>3.6342592592592594E-3</v>
      </c>
      <c r="M30" s="9">
        <f t="shared" si="3"/>
        <v>3.2516718106995884E-3</v>
      </c>
      <c r="N30" s="11">
        <f t="shared" si="3"/>
        <v>3.1024948559670779E-3</v>
      </c>
      <c r="P30" s="3">
        <f t="shared" si="4"/>
        <v>26</v>
      </c>
    </row>
    <row r="31" spans="1:16" s="2" customFormat="1" x14ac:dyDescent="0.2">
      <c r="A31" s="25">
        <f t="shared" si="0"/>
        <v>1.4236111111111116E-2</v>
      </c>
      <c r="B31" s="9">
        <f t="shared" si="6"/>
        <v>1.027199074074074E-3</v>
      </c>
      <c r="C31" s="10">
        <f t="shared" si="6"/>
        <v>1.5697337962962965E-3</v>
      </c>
      <c r="D31" s="10">
        <f t="shared" si="6"/>
        <v>2.1006944444444445E-3</v>
      </c>
      <c r="E31" s="10">
        <f t="shared" si="6"/>
        <v>2.6548032407407406E-3</v>
      </c>
      <c r="F31" s="10">
        <f t="shared" si="6"/>
        <v>3.2298900462962958E-3</v>
      </c>
      <c r="G31" s="10">
        <f t="shared" si="6"/>
        <v>4.3959780092592592E-3</v>
      </c>
      <c r="H31" s="11">
        <f t="shared" si="6"/>
        <v>5.5526620370370365E-3</v>
      </c>
      <c r="I31" s="9">
        <f t="shared" si="6"/>
        <v>2.9629629629629632E-3</v>
      </c>
      <c r="J31" s="10">
        <f t="shared" si="6"/>
        <v>3.0787037037037037E-3</v>
      </c>
      <c r="K31" s="10">
        <f t="shared" si="6"/>
        <v>3.1828703703703706E-3</v>
      </c>
      <c r="L31" s="11">
        <f t="shared" si="2"/>
        <v>3.6574074074074078E-3</v>
      </c>
      <c r="M31" s="9">
        <f t="shared" si="3"/>
        <v>3.2783564814814815E-3</v>
      </c>
      <c r="N31" s="11">
        <f t="shared" si="3"/>
        <v>3.1278935185185186E-3</v>
      </c>
      <c r="P31" s="3">
        <f t="shared" si="4"/>
        <v>27</v>
      </c>
    </row>
    <row r="32" spans="1:16" s="2" customFormat="1" x14ac:dyDescent="0.2">
      <c r="A32" s="25">
        <f t="shared" si="0"/>
        <v>1.4351851851851857E-2</v>
      </c>
      <c r="B32" s="9">
        <f t="shared" si="6"/>
        <v>1.0365226337448559E-3</v>
      </c>
      <c r="C32" s="10">
        <f t="shared" si="6"/>
        <v>1.5837191358024692E-3</v>
      </c>
      <c r="D32" s="10">
        <f t="shared" si="6"/>
        <v>2.1193415637860082E-3</v>
      </c>
      <c r="E32" s="10">
        <f t="shared" si="6"/>
        <v>2.6781121399176953E-3</v>
      </c>
      <c r="F32" s="10">
        <f t="shared" si="6"/>
        <v>3.2577803497942383E-3</v>
      </c>
      <c r="G32" s="10">
        <f t="shared" si="6"/>
        <v>4.4331918724279835E-3</v>
      </c>
      <c r="H32" s="11">
        <f t="shared" si="6"/>
        <v>5.5992798353909461E-3</v>
      </c>
      <c r="I32" s="9">
        <f t="shared" si="6"/>
        <v>2.9861111111111113E-3</v>
      </c>
      <c r="J32" s="10">
        <f t="shared" si="6"/>
        <v>3.1018518518518517E-3</v>
      </c>
      <c r="K32" s="10">
        <f t="shared" si="6"/>
        <v>3.2060185185185186E-3</v>
      </c>
      <c r="L32" s="11">
        <f t="shared" si="2"/>
        <v>3.6805555555555558E-3</v>
      </c>
      <c r="M32" s="9">
        <f t="shared" si="3"/>
        <v>3.3050411522633745E-3</v>
      </c>
      <c r="N32" s="11">
        <f t="shared" si="3"/>
        <v>3.1532921810699588E-3</v>
      </c>
      <c r="P32" s="3">
        <f t="shared" si="4"/>
        <v>28</v>
      </c>
    </row>
    <row r="33" spans="1:16" s="2" customFormat="1" x14ac:dyDescent="0.2">
      <c r="A33" s="25">
        <f t="shared" si="0"/>
        <v>1.4467592592592598E-2</v>
      </c>
      <c r="B33" s="9">
        <f t="shared" si="6"/>
        <v>1.0458461934156379E-3</v>
      </c>
      <c r="C33" s="10">
        <f t="shared" si="6"/>
        <v>1.597704475308642E-3</v>
      </c>
      <c r="D33" s="10">
        <f t="shared" si="6"/>
        <v>2.1379886831275718E-3</v>
      </c>
      <c r="E33" s="10">
        <f t="shared" si="6"/>
        <v>2.7014210390946501E-3</v>
      </c>
      <c r="F33" s="10">
        <f t="shared" si="6"/>
        <v>3.2856706532921809E-3</v>
      </c>
      <c r="G33" s="10">
        <f t="shared" si="6"/>
        <v>4.470405735596707E-3</v>
      </c>
      <c r="H33" s="11">
        <f t="shared" si="6"/>
        <v>5.6458976337448556E-3</v>
      </c>
      <c r="I33" s="9">
        <f t="shared" si="6"/>
        <v>3.0092592592592593E-3</v>
      </c>
      <c r="J33" s="10">
        <f t="shared" si="6"/>
        <v>3.1249999999999997E-3</v>
      </c>
      <c r="K33" s="10">
        <f t="shared" si="6"/>
        <v>3.2291666666666666E-3</v>
      </c>
      <c r="L33" s="11">
        <f t="shared" si="2"/>
        <v>3.7037037037037038E-3</v>
      </c>
      <c r="M33" s="9">
        <f t="shared" si="3"/>
        <v>3.3317258230452676E-3</v>
      </c>
      <c r="N33" s="11">
        <f t="shared" si="3"/>
        <v>3.1786908436213989E-3</v>
      </c>
      <c r="P33" s="3">
        <f t="shared" si="4"/>
        <v>29</v>
      </c>
    </row>
    <row r="34" spans="1:16" s="2" customFormat="1" x14ac:dyDescent="0.2">
      <c r="A34" s="25">
        <f t="shared" si="0"/>
        <v>1.4583333333333339E-2</v>
      </c>
      <c r="B34" s="9">
        <f t="shared" si="6"/>
        <v>1.0551697530864197E-3</v>
      </c>
      <c r="C34" s="10">
        <f t="shared" si="6"/>
        <v>1.6116898148148149E-3</v>
      </c>
      <c r="D34" s="10">
        <f t="shared" si="6"/>
        <v>2.1566358024691359E-3</v>
      </c>
      <c r="E34" s="10">
        <f t="shared" si="6"/>
        <v>2.7247299382716049E-3</v>
      </c>
      <c r="F34" s="10">
        <f t="shared" si="6"/>
        <v>3.3135609567901229E-3</v>
      </c>
      <c r="G34" s="10">
        <f t="shared" si="6"/>
        <v>4.5076195987654322E-3</v>
      </c>
      <c r="H34" s="11">
        <f t="shared" si="6"/>
        <v>5.6925154320987652E-3</v>
      </c>
      <c r="I34" s="9">
        <f t="shared" si="6"/>
        <v>3.0324074074074073E-3</v>
      </c>
      <c r="J34" s="10">
        <f t="shared" si="6"/>
        <v>3.1481481481481482E-3</v>
      </c>
      <c r="K34" s="10">
        <f t="shared" si="6"/>
        <v>3.2523148148148147E-3</v>
      </c>
      <c r="L34" s="11">
        <f t="shared" si="2"/>
        <v>3.7268518518518519E-3</v>
      </c>
      <c r="M34" s="9">
        <f t="shared" si="3"/>
        <v>3.3584104938271606E-3</v>
      </c>
      <c r="N34" s="11">
        <f t="shared" si="3"/>
        <v>3.2040895061728391E-3</v>
      </c>
      <c r="P34" s="3">
        <f t="shared" si="4"/>
        <v>30</v>
      </c>
    </row>
    <row r="35" spans="1:16" s="2" customFormat="1" x14ac:dyDescent="0.2">
      <c r="A35" s="25">
        <f t="shared" si="0"/>
        <v>1.469907407407408E-2</v>
      </c>
      <c r="B35" s="9">
        <f t="shared" ref="B35:K44" si="7">B$4+$P35*B$3</f>
        <v>1.0644933127572018E-3</v>
      </c>
      <c r="C35" s="10">
        <f t="shared" si="7"/>
        <v>1.6256751543209879E-3</v>
      </c>
      <c r="D35" s="10">
        <f t="shared" si="7"/>
        <v>2.1752829218106996E-3</v>
      </c>
      <c r="E35" s="10">
        <f t="shared" si="7"/>
        <v>2.7480388374485597E-3</v>
      </c>
      <c r="F35" s="10">
        <f t="shared" si="7"/>
        <v>3.3414512602880655E-3</v>
      </c>
      <c r="G35" s="10">
        <f t="shared" si="7"/>
        <v>4.5448334619341557E-3</v>
      </c>
      <c r="H35" s="11">
        <f t="shared" si="7"/>
        <v>5.7391332304526747E-3</v>
      </c>
      <c r="I35" s="9">
        <f t="shared" si="7"/>
        <v>3.0555555555555557E-3</v>
      </c>
      <c r="J35" s="10">
        <f t="shared" si="7"/>
        <v>3.1712962962962962E-3</v>
      </c>
      <c r="K35" s="10">
        <f t="shared" si="7"/>
        <v>3.2754629629629631E-3</v>
      </c>
      <c r="L35" s="11">
        <f t="shared" si="2"/>
        <v>3.7500000000000003E-3</v>
      </c>
      <c r="M35" s="9">
        <f t="shared" si="3"/>
        <v>3.3850951646090537E-3</v>
      </c>
      <c r="N35" s="11">
        <f t="shared" si="3"/>
        <v>3.2294881687242798E-3</v>
      </c>
      <c r="P35" s="3">
        <f t="shared" si="4"/>
        <v>31</v>
      </c>
    </row>
    <row r="36" spans="1:16" s="2" customFormat="1" x14ac:dyDescent="0.2">
      <c r="A36" s="25">
        <f t="shared" si="0"/>
        <v>1.4814814814814821E-2</v>
      </c>
      <c r="B36" s="9">
        <f t="shared" si="7"/>
        <v>1.0738168724279836E-3</v>
      </c>
      <c r="C36" s="10">
        <f t="shared" si="7"/>
        <v>1.6396604938271606E-3</v>
      </c>
      <c r="D36" s="10">
        <f t="shared" si="7"/>
        <v>2.1939300411522632E-3</v>
      </c>
      <c r="E36" s="10">
        <f t="shared" si="7"/>
        <v>2.7713477366255145E-3</v>
      </c>
      <c r="F36" s="10">
        <f t="shared" si="7"/>
        <v>3.369341563786008E-3</v>
      </c>
      <c r="G36" s="10">
        <f t="shared" si="7"/>
        <v>4.5820473251028801E-3</v>
      </c>
      <c r="H36" s="11">
        <f t="shared" si="7"/>
        <v>5.7857510288065843E-3</v>
      </c>
      <c r="I36" s="9">
        <f t="shared" si="7"/>
        <v>3.0787037037037037E-3</v>
      </c>
      <c r="J36" s="10">
        <f t="shared" si="7"/>
        <v>3.1944444444444442E-3</v>
      </c>
      <c r="K36" s="10">
        <f t="shared" si="7"/>
        <v>3.2986111111111111E-3</v>
      </c>
      <c r="L36" s="11">
        <f t="shared" si="2"/>
        <v>3.7731481481481483E-3</v>
      </c>
      <c r="M36" s="9">
        <f t="shared" si="3"/>
        <v>3.4117798353909467E-3</v>
      </c>
      <c r="N36" s="11">
        <f t="shared" si="3"/>
        <v>3.2548868312757199E-3</v>
      </c>
      <c r="P36" s="3">
        <f t="shared" si="4"/>
        <v>32</v>
      </c>
    </row>
    <row r="37" spans="1:16" s="2" customFormat="1" x14ac:dyDescent="0.2">
      <c r="A37" s="25">
        <f t="shared" ref="A37:A68" si="8">A36+$A$3</f>
        <v>1.4930555555555561E-2</v>
      </c>
      <c r="B37" s="9">
        <f t="shared" si="7"/>
        <v>1.0831404320987654E-3</v>
      </c>
      <c r="C37" s="10">
        <f t="shared" si="7"/>
        <v>1.6536458333333334E-3</v>
      </c>
      <c r="D37" s="10">
        <f t="shared" si="7"/>
        <v>2.2125771604938269E-3</v>
      </c>
      <c r="E37" s="10">
        <f t="shared" si="7"/>
        <v>2.7946566358024692E-3</v>
      </c>
      <c r="F37" s="10">
        <f t="shared" si="7"/>
        <v>3.3972318672839501E-3</v>
      </c>
      <c r="G37" s="10">
        <f t="shared" si="7"/>
        <v>4.6192611882716044E-3</v>
      </c>
      <c r="H37" s="11">
        <f t="shared" si="7"/>
        <v>5.8323688271604938E-3</v>
      </c>
      <c r="I37" s="9">
        <f t="shared" si="7"/>
        <v>3.1018518518518522E-3</v>
      </c>
      <c r="J37" s="10">
        <f t="shared" si="7"/>
        <v>3.2175925925925922E-3</v>
      </c>
      <c r="K37" s="10">
        <f t="shared" si="7"/>
        <v>3.3217592592592595E-3</v>
      </c>
      <c r="L37" s="11">
        <f t="shared" si="2"/>
        <v>3.7962962962962967E-3</v>
      </c>
      <c r="M37" s="9">
        <f t="shared" si="3"/>
        <v>3.4384645061728398E-3</v>
      </c>
      <c r="N37" s="11">
        <f t="shared" si="3"/>
        <v>3.2802854938271601E-3</v>
      </c>
      <c r="P37" s="3">
        <f t="shared" si="4"/>
        <v>33</v>
      </c>
    </row>
    <row r="38" spans="1:16" s="2" customFormat="1" x14ac:dyDescent="0.2">
      <c r="A38" s="25">
        <f t="shared" si="8"/>
        <v>1.5046296296296302E-2</v>
      </c>
      <c r="B38" s="9">
        <f t="shared" si="7"/>
        <v>1.0924639917695472E-3</v>
      </c>
      <c r="C38" s="10">
        <f t="shared" si="7"/>
        <v>1.6676311728395063E-3</v>
      </c>
      <c r="D38" s="10">
        <f t="shared" si="7"/>
        <v>2.2312242798353909E-3</v>
      </c>
      <c r="E38" s="10">
        <f t="shared" si="7"/>
        <v>2.817965534979424E-3</v>
      </c>
      <c r="F38" s="10">
        <f t="shared" si="7"/>
        <v>3.4251221707818926E-3</v>
      </c>
      <c r="G38" s="10">
        <f t="shared" si="7"/>
        <v>4.6564750514403288E-3</v>
      </c>
      <c r="H38" s="11">
        <f t="shared" si="7"/>
        <v>5.8789866255144034E-3</v>
      </c>
      <c r="I38" s="9">
        <f t="shared" si="7"/>
        <v>3.1250000000000002E-3</v>
      </c>
      <c r="J38" s="10">
        <f t="shared" si="7"/>
        <v>3.2407407407407406E-3</v>
      </c>
      <c r="K38" s="10">
        <f t="shared" si="7"/>
        <v>3.3449074074074076E-3</v>
      </c>
      <c r="L38" s="11">
        <f t="shared" si="2"/>
        <v>3.8194444444444448E-3</v>
      </c>
      <c r="M38" s="9">
        <f t="shared" ref="M38:N69" si="9">M$4+$P38*M$3</f>
        <v>3.4651491769547328E-3</v>
      </c>
      <c r="N38" s="11">
        <f t="shared" si="9"/>
        <v>3.3056841563786007E-3</v>
      </c>
      <c r="P38" s="3">
        <f t="shared" si="4"/>
        <v>34</v>
      </c>
    </row>
    <row r="39" spans="1:16" s="2" customFormat="1" x14ac:dyDescent="0.2">
      <c r="A39" s="25">
        <f t="shared" si="8"/>
        <v>1.5162037037037043E-2</v>
      </c>
      <c r="B39" s="9">
        <f t="shared" si="7"/>
        <v>1.1017875514403293E-3</v>
      </c>
      <c r="C39" s="10">
        <f t="shared" si="7"/>
        <v>1.6816165123456793E-3</v>
      </c>
      <c r="D39" s="10">
        <f t="shared" si="7"/>
        <v>2.2498713991769546E-3</v>
      </c>
      <c r="E39" s="10">
        <f t="shared" si="7"/>
        <v>2.8412744341563788E-3</v>
      </c>
      <c r="F39" s="10">
        <f t="shared" si="7"/>
        <v>3.4530124742798351E-3</v>
      </c>
      <c r="G39" s="10">
        <f t="shared" si="7"/>
        <v>4.6936889146090531E-3</v>
      </c>
      <c r="H39" s="11">
        <f t="shared" si="7"/>
        <v>5.925604423868313E-3</v>
      </c>
      <c r="I39" s="9">
        <f t="shared" si="7"/>
        <v>3.1481481481481482E-3</v>
      </c>
      <c r="J39" s="10">
        <f t="shared" si="7"/>
        <v>3.2638888888888887E-3</v>
      </c>
      <c r="K39" s="10">
        <f t="shared" si="7"/>
        <v>3.3680555555555556E-3</v>
      </c>
      <c r="L39" s="11">
        <f t="shared" si="2"/>
        <v>3.8425925925925928E-3</v>
      </c>
      <c r="M39" s="9">
        <f t="shared" si="9"/>
        <v>3.4918338477366254E-3</v>
      </c>
      <c r="N39" s="11">
        <f t="shared" si="9"/>
        <v>3.3310828189300409E-3</v>
      </c>
      <c r="P39" s="3">
        <f t="shared" si="4"/>
        <v>35</v>
      </c>
    </row>
    <row r="40" spans="1:16" s="2" customFormat="1" x14ac:dyDescent="0.2">
      <c r="A40" s="25">
        <f t="shared" si="8"/>
        <v>1.5277777777777784E-2</v>
      </c>
      <c r="B40" s="9">
        <f t="shared" si="7"/>
        <v>1.1111111111111111E-3</v>
      </c>
      <c r="C40" s="10">
        <f t="shared" si="7"/>
        <v>1.695601851851852E-3</v>
      </c>
      <c r="D40" s="10">
        <f t="shared" si="7"/>
        <v>2.2685185185185187E-3</v>
      </c>
      <c r="E40" s="10">
        <f t="shared" si="7"/>
        <v>2.8645833333333336E-3</v>
      </c>
      <c r="F40" s="10">
        <f t="shared" si="7"/>
        <v>3.4809027777777772E-3</v>
      </c>
      <c r="G40" s="10">
        <f t="shared" si="7"/>
        <v>4.7309027777777775E-3</v>
      </c>
      <c r="H40" s="11">
        <f t="shared" si="7"/>
        <v>5.9722222222222216E-3</v>
      </c>
      <c r="I40" s="9">
        <f t="shared" si="7"/>
        <v>3.1712962962962962E-3</v>
      </c>
      <c r="J40" s="10">
        <f t="shared" si="7"/>
        <v>3.2870370370370371E-3</v>
      </c>
      <c r="K40" s="10">
        <f t="shared" si="7"/>
        <v>3.3912037037037036E-3</v>
      </c>
      <c r="L40" s="11">
        <f t="shared" si="2"/>
        <v>3.8657407407407408E-3</v>
      </c>
      <c r="M40" s="9">
        <f t="shared" si="9"/>
        <v>3.5185185185185185E-3</v>
      </c>
      <c r="N40" s="11">
        <f t="shared" si="9"/>
        <v>3.3564814814814811E-3</v>
      </c>
      <c r="P40" s="3">
        <f t="shared" si="4"/>
        <v>36</v>
      </c>
    </row>
    <row r="41" spans="1:16" s="2" customFormat="1" x14ac:dyDescent="0.2">
      <c r="A41" s="25">
        <f t="shared" si="8"/>
        <v>1.5393518518518525E-2</v>
      </c>
      <c r="B41" s="9">
        <f t="shared" si="7"/>
        <v>1.1204346707818929E-3</v>
      </c>
      <c r="C41" s="10">
        <f t="shared" si="7"/>
        <v>1.7095871913580247E-3</v>
      </c>
      <c r="D41" s="10">
        <f t="shared" si="7"/>
        <v>2.2871656378600823E-3</v>
      </c>
      <c r="E41" s="10">
        <f t="shared" si="7"/>
        <v>2.8878922325102883E-3</v>
      </c>
      <c r="F41" s="10">
        <f t="shared" si="7"/>
        <v>3.5087930812757197E-3</v>
      </c>
      <c r="G41" s="10">
        <f t="shared" si="7"/>
        <v>4.7681166409465018E-3</v>
      </c>
      <c r="H41" s="11">
        <f t="shared" si="7"/>
        <v>6.0188400205761312E-3</v>
      </c>
      <c r="I41" s="9">
        <f t="shared" si="7"/>
        <v>3.1944444444444446E-3</v>
      </c>
      <c r="J41" s="10">
        <f t="shared" si="7"/>
        <v>3.3101851851851851E-3</v>
      </c>
      <c r="K41" s="10">
        <f t="shared" si="7"/>
        <v>3.414351851851852E-3</v>
      </c>
      <c r="L41" s="11">
        <f t="shared" si="2"/>
        <v>3.8888888888888892E-3</v>
      </c>
      <c r="M41" s="9">
        <f t="shared" si="9"/>
        <v>3.5452031893004115E-3</v>
      </c>
      <c r="N41" s="11">
        <f t="shared" si="9"/>
        <v>3.3818801440329213E-3</v>
      </c>
      <c r="P41" s="3">
        <f t="shared" si="4"/>
        <v>37</v>
      </c>
    </row>
    <row r="42" spans="1:16" s="2" customFormat="1" x14ac:dyDescent="0.2">
      <c r="A42" s="25">
        <f t="shared" si="8"/>
        <v>1.5509259259259266E-2</v>
      </c>
      <c r="B42" s="9">
        <f t="shared" si="7"/>
        <v>1.129758230452675E-3</v>
      </c>
      <c r="C42" s="10">
        <f t="shared" si="7"/>
        <v>1.7235725308641977E-3</v>
      </c>
      <c r="D42" s="10">
        <f t="shared" si="7"/>
        <v>2.305812757201646E-3</v>
      </c>
      <c r="E42" s="10">
        <f t="shared" si="7"/>
        <v>2.9112011316872431E-3</v>
      </c>
      <c r="F42" s="10">
        <f t="shared" si="7"/>
        <v>3.5366833847736623E-3</v>
      </c>
      <c r="G42" s="10">
        <f t="shared" si="7"/>
        <v>4.8053305041152261E-3</v>
      </c>
      <c r="H42" s="11">
        <f t="shared" si="7"/>
        <v>6.0654578189300408E-3</v>
      </c>
      <c r="I42" s="9">
        <f t="shared" si="7"/>
        <v>3.2175925925925926E-3</v>
      </c>
      <c r="J42" s="10">
        <f t="shared" si="7"/>
        <v>3.3333333333333331E-3</v>
      </c>
      <c r="K42" s="10">
        <f t="shared" si="7"/>
        <v>3.4375E-3</v>
      </c>
      <c r="L42" s="11">
        <f t="shared" si="2"/>
        <v>3.9120370370370368E-3</v>
      </c>
      <c r="M42" s="9">
        <f t="shared" si="9"/>
        <v>3.5718878600823046E-3</v>
      </c>
      <c r="N42" s="11">
        <f t="shared" si="9"/>
        <v>3.4072788065843619E-3</v>
      </c>
      <c r="P42" s="3">
        <f t="shared" si="4"/>
        <v>38</v>
      </c>
    </row>
    <row r="43" spans="1:16" s="2" customFormat="1" x14ac:dyDescent="0.2">
      <c r="A43" s="25">
        <f t="shared" si="8"/>
        <v>1.5625000000000007E-2</v>
      </c>
      <c r="B43" s="9">
        <f t="shared" si="7"/>
        <v>1.1390817901234568E-3</v>
      </c>
      <c r="C43" s="10">
        <f t="shared" si="7"/>
        <v>1.7375578703703706E-3</v>
      </c>
      <c r="D43" s="10">
        <f t="shared" si="7"/>
        <v>2.3244598765432096E-3</v>
      </c>
      <c r="E43" s="10">
        <f t="shared" si="7"/>
        <v>2.9345100308641975E-3</v>
      </c>
      <c r="F43" s="10">
        <f t="shared" si="7"/>
        <v>3.5645736882716043E-3</v>
      </c>
      <c r="G43" s="10">
        <f t="shared" si="7"/>
        <v>4.8425443672839505E-3</v>
      </c>
      <c r="H43" s="11">
        <f t="shared" si="7"/>
        <v>6.1120756172839503E-3</v>
      </c>
      <c r="I43" s="9">
        <f t="shared" si="7"/>
        <v>3.2407407407407411E-3</v>
      </c>
      <c r="J43" s="10">
        <f t="shared" si="7"/>
        <v>3.3564814814814811E-3</v>
      </c>
      <c r="K43" s="10">
        <f t="shared" si="7"/>
        <v>3.4606481481481485E-3</v>
      </c>
      <c r="L43" s="11">
        <f t="shared" si="2"/>
        <v>3.9351851851851857E-3</v>
      </c>
      <c r="M43" s="9">
        <f t="shared" si="9"/>
        <v>3.5985725308641976E-3</v>
      </c>
      <c r="N43" s="11">
        <f t="shared" si="9"/>
        <v>3.4326774691358021E-3</v>
      </c>
      <c r="P43" s="3">
        <f t="shared" si="4"/>
        <v>39</v>
      </c>
    </row>
    <row r="44" spans="1:16" s="2" customFormat="1" x14ac:dyDescent="0.2">
      <c r="A44" s="25">
        <f t="shared" si="8"/>
        <v>1.5740740740740746E-2</v>
      </c>
      <c r="B44" s="9">
        <f t="shared" si="7"/>
        <v>1.1484053497942386E-3</v>
      </c>
      <c r="C44" s="10">
        <f t="shared" si="7"/>
        <v>1.7515432098765434E-3</v>
      </c>
      <c r="D44" s="10">
        <f t="shared" si="7"/>
        <v>2.3431069958847737E-3</v>
      </c>
      <c r="E44" s="10">
        <f t="shared" si="7"/>
        <v>2.9578189300411522E-3</v>
      </c>
      <c r="F44" s="10">
        <f t="shared" si="7"/>
        <v>3.5924639917695469E-3</v>
      </c>
      <c r="G44" s="10">
        <f t="shared" si="7"/>
        <v>4.879758230452674E-3</v>
      </c>
      <c r="H44" s="11">
        <f t="shared" si="7"/>
        <v>6.1586934156378599E-3</v>
      </c>
      <c r="I44" s="9">
        <f t="shared" si="7"/>
        <v>3.2638888888888891E-3</v>
      </c>
      <c r="J44" s="10">
        <f t="shared" si="7"/>
        <v>3.3796296296296296E-3</v>
      </c>
      <c r="K44" s="10">
        <f t="shared" si="7"/>
        <v>3.4837962962962965E-3</v>
      </c>
      <c r="L44" s="11">
        <f t="shared" si="2"/>
        <v>3.9583333333333337E-3</v>
      </c>
      <c r="M44" s="9">
        <f t="shared" si="9"/>
        <v>3.6252572016460907E-3</v>
      </c>
      <c r="N44" s="11">
        <f t="shared" si="9"/>
        <v>3.4580761316872427E-3</v>
      </c>
      <c r="P44" s="3">
        <f t="shared" si="4"/>
        <v>40</v>
      </c>
    </row>
    <row r="45" spans="1:16" s="2" customFormat="1" x14ac:dyDescent="0.2">
      <c r="A45" s="25">
        <f t="shared" si="8"/>
        <v>1.5856481481481485E-2</v>
      </c>
      <c r="B45" s="9">
        <f t="shared" ref="B45:K54" si="10">B$4+$P45*B$3</f>
        <v>1.1577289094650204E-3</v>
      </c>
      <c r="C45" s="10">
        <f t="shared" si="10"/>
        <v>1.7655285493827161E-3</v>
      </c>
      <c r="D45" s="10">
        <f t="shared" si="10"/>
        <v>2.3617541152263373E-3</v>
      </c>
      <c r="E45" s="10">
        <f t="shared" si="10"/>
        <v>2.981127829218107E-3</v>
      </c>
      <c r="F45" s="10">
        <f t="shared" si="10"/>
        <v>3.6203542952674894E-3</v>
      </c>
      <c r="G45" s="10">
        <f t="shared" si="10"/>
        <v>4.9169720936213992E-3</v>
      </c>
      <c r="H45" s="11">
        <f t="shared" si="10"/>
        <v>6.2053112139917694E-3</v>
      </c>
      <c r="I45" s="9">
        <f t="shared" si="10"/>
        <v>3.2870370370370371E-3</v>
      </c>
      <c r="J45" s="10">
        <f t="shared" si="10"/>
        <v>3.4027777777777776E-3</v>
      </c>
      <c r="K45" s="10">
        <f t="shared" si="10"/>
        <v>3.5069444444444445E-3</v>
      </c>
      <c r="L45" s="11">
        <f t="shared" si="2"/>
        <v>3.9814814814814817E-3</v>
      </c>
      <c r="M45" s="9">
        <f t="shared" si="9"/>
        <v>3.6519418724279837E-3</v>
      </c>
      <c r="N45" s="11">
        <f t="shared" si="9"/>
        <v>3.4834747942386829E-3</v>
      </c>
      <c r="P45" s="3">
        <f t="shared" si="4"/>
        <v>41</v>
      </c>
    </row>
    <row r="46" spans="1:16" s="2" customFormat="1" x14ac:dyDescent="0.2">
      <c r="A46" s="25">
        <f t="shared" si="8"/>
        <v>1.5972222222222224E-2</v>
      </c>
      <c r="B46" s="9">
        <f t="shared" si="10"/>
        <v>1.1670524691358025E-3</v>
      </c>
      <c r="C46" s="10">
        <f t="shared" si="10"/>
        <v>1.7795138888888891E-3</v>
      </c>
      <c r="D46" s="10">
        <f t="shared" si="10"/>
        <v>2.3804012345679014E-3</v>
      </c>
      <c r="E46" s="10">
        <f t="shared" si="10"/>
        <v>3.0044367283950618E-3</v>
      </c>
      <c r="F46" s="10">
        <f t="shared" si="10"/>
        <v>3.6482445987654315E-3</v>
      </c>
      <c r="G46" s="10">
        <f t="shared" si="10"/>
        <v>4.9541859567901227E-3</v>
      </c>
      <c r="H46" s="11">
        <f t="shared" si="10"/>
        <v>6.2519290123456781E-3</v>
      </c>
      <c r="I46" s="9">
        <f t="shared" si="10"/>
        <v>3.3101851851851851E-3</v>
      </c>
      <c r="J46" s="10">
        <f t="shared" si="10"/>
        <v>3.425925925925926E-3</v>
      </c>
      <c r="K46" s="10">
        <f t="shared" si="10"/>
        <v>3.5300925925925925E-3</v>
      </c>
      <c r="L46" s="11">
        <f t="shared" si="2"/>
        <v>4.0046296296296297E-3</v>
      </c>
      <c r="M46" s="9">
        <f t="shared" si="9"/>
        <v>3.6786265432098763E-3</v>
      </c>
      <c r="N46" s="11">
        <f t="shared" si="9"/>
        <v>3.5088734567901231E-3</v>
      </c>
      <c r="P46" s="3">
        <f t="shared" si="4"/>
        <v>42</v>
      </c>
    </row>
    <row r="47" spans="1:16" s="2" customFormat="1" x14ac:dyDescent="0.2">
      <c r="A47" s="25">
        <f t="shared" si="8"/>
        <v>1.6087962962962964E-2</v>
      </c>
      <c r="B47" s="9">
        <f t="shared" si="10"/>
        <v>1.1763760288065843E-3</v>
      </c>
      <c r="C47" s="10">
        <f t="shared" si="10"/>
        <v>1.793499228395062E-3</v>
      </c>
      <c r="D47" s="10">
        <f t="shared" si="10"/>
        <v>2.3990483539094651E-3</v>
      </c>
      <c r="E47" s="10">
        <f t="shared" si="10"/>
        <v>3.0277456275720166E-3</v>
      </c>
      <c r="F47" s="10">
        <f t="shared" si="10"/>
        <v>3.676134902263374E-3</v>
      </c>
      <c r="G47" s="10">
        <f t="shared" si="10"/>
        <v>4.991399819958847E-3</v>
      </c>
      <c r="H47" s="11">
        <f t="shared" si="10"/>
        <v>6.2985468106995877E-3</v>
      </c>
      <c r="I47" s="9">
        <f t="shared" si="10"/>
        <v>3.3333333333333335E-3</v>
      </c>
      <c r="J47" s="10">
        <f t="shared" si="10"/>
        <v>3.449074074074074E-3</v>
      </c>
      <c r="K47" s="10">
        <f t="shared" si="10"/>
        <v>3.5532407407407409E-3</v>
      </c>
      <c r="L47" s="11">
        <f t="shared" si="2"/>
        <v>4.0277777777777777E-3</v>
      </c>
      <c r="M47" s="9">
        <f t="shared" si="9"/>
        <v>3.7053112139917698E-3</v>
      </c>
      <c r="N47" s="11">
        <f t="shared" si="9"/>
        <v>3.5342721193415633E-3</v>
      </c>
      <c r="P47" s="3">
        <f t="shared" si="4"/>
        <v>43</v>
      </c>
    </row>
    <row r="48" spans="1:16" s="2" customFormat="1" x14ac:dyDescent="0.2">
      <c r="A48" s="25">
        <f t="shared" si="8"/>
        <v>1.6203703703703703E-2</v>
      </c>
      <c r="B48" s="9">
        <f t="shared" si="10"/>
        <v>1.1856995884773664E-3</v>
      </c>
      <c r="C48" s="10">
        <f t="shared" si="10"/>
        <v>1.8074845679012348E-3</v>
      </c>
      <c r="D48" s="10">
        <f t="shared" si="10"/>
        <v>2.4176954732510287E-3</v>
      </c>
      <c r="E48" s="10">
        <f t="shared" si="10"/>
        <v>3.0510545267489714E-3</v>
      </c>
      <c r="F48" s="10">
        <f t="shared" si="10"/>
        <v>3.7040252057613165E-3</v>
      </c>
      <c r="G48" s="10">
        <f t="shared" si="10"/>
        <v>5.0286136831275714E-3</v>
      </c>
      <c r="H48" s="11">
        <f t="shared" si="10"/>
        <v>6.3451646090534972E-3</v>
      </c>
      <c r="I48" s="9">
        <f t="shared" si="10"/>
        <v>3.3564814814814816E-3</v>
      </c>
      <c r="J48" s="10">
        <f t="shared" si="10"/>
        <v>3.472222222222222E-3</v>
      </c>
      <c r="K48" s="10">
        <f t="shared" si="10"/>
        <v>3.5763888888888889E-3</v>
      </c>
      <c r="L48" s="11">
        <f t="shared" si="2"/>
        <v>4.0509259259259257E-3</v>
      </c>
      <c r="M48" s="9">
        <f t="shared" si="9"/>
        <v>3.7319958847736624E-3</v>
      </c>
      <c r="N48" s="11">
        <f t="shared" si="9"/>
        <v>3.5596707818930039E-3</v>
      </c>
      <c r="P48" s="3">
        <f t="shared" si="4"/>
        <v>44</v>
      </c>
    </row>
    <row r="49" spans="1:16" s="2" customFormat="1" x14ac:dyDescent="0.2">
      <c r="A49" s="25">
        <f t="shared" si="8"/>
        <v>1.6319444444444442E-2</v>
      </c>
      <c r="B49" s="9">
        <f t="shared" si="10"/>
        <v>1.1950231481481482E-3</v>
      </c>
      <c r="C49" s="10">
        <f t="shared" si="10"/>
        <v>1.8214699074074075E-3</v>
      </c>
      <c r="D49" s="10">
        <f t="shared" si="10"/>
        <v>2.4363425925925924E-3</v>
      </c>
      <c r="E49" s="10">
        <f t="shared" si="10"/>
        <v>3.0743634259259261E-3</v>
      </c>
      <c r="F49" s="10">
        <f t="shared" si="10"/>
        <v>3.7319155092592586E-3</v>
      </c>
      <c r="G49" s="10">
        <f t="shared" si="10"/>
        <v>5.0658275462962957E-3</v>
      </c>
      <c r="H49" s="11">
        <f t="shared" si="10"/>
        <v>6.3917824074074068E-3</v>
      </c>
      <c r="I49" s="9">
        <f t="shared" si="10"/>
        <v>3.37962962962963E-3</v>
      </c>
      <c r="J49" s="10">
        <f t="shared" si="10"/>
        <v>3.49537037037037E-3</v>
      </c>
      <c r="K49" s="10">
        <f t="shared" si="10"/>
        <v>3.5995370370370374E-3</v>
      </c>
      <c r="L49" s="11">
        <f t="shared" si="2"/>
        <v>4.0740740740740746E-3</v>
      </c>
      <c r="M49" s="9">
        <f t="shared" si="9"/>
        <v>3.7586805555555559E-3</v>
      </c>
      <c r="N49" s="11">
        <f t="shared" si="9"/>
        <v>3.5850694444444441E-3</v>
      </c>
      <c r="P49" s="3">
        <f t="shared" si="4"/>
        <v>45</v>
      </c>
    </row>
    <row r="50" spans="1:16" s="2" customFormat="1" x14ac:dyDescent="0.2">
      <c r="A50" s="25">
        <f t="shared" si="8"/>
        <v>1.6435185185185181E-2</v>
      </c>
      <c r="B50" s="9">
        <f t="shared" si="10"/>
        <v>1.20434670781893E-3</v>
      </c>
      <c r="C50" s="10">
        <f t="shared" si="10"/>
        <v>1.8354552469135805E-3</v>
      </c>
      <c r="D50" s="10">
        <f t="shared" si="10"/>
        <v>2.4549897119341565E-3</v>
      </c>
      <c r="E50" s="10">
        <f t="shared" si="10"/>
        <v>3.0976723251028805E-3</v>
      </c>
      <c r="F50" s="10">
        <f t="shared" si="10"/>
        <v>3.7598058127572016E-3</v>
      </c>
      <c r="G50" s="10">
        <f t="shared" si="10"/>
        <v>5.1030414094650201E-3</v>
      </c>
      <c r="H50" s="11">
        <f t="shared" si="10"/>
        <v>6.4384002057613163E-3</v>
      </c>
      <c r="I50" s="9">
        <f t="shared" si="10"/>
        <v>3.402777777777778E-3</v>
      </c>
      <c r="J50" s="10">
        <f t="shared" si="10"/>
        <v>3.518518518518518E-3</v>
      </c>
      <c r="K50" s="10">
        <f t="shared" si="10"/>
        <v>3.6226851851851854E-3</v>
      </c>
      <c r="L50" s="11">
        <f t="shared" si="2"/>
        <v>4.0972222222222226E-3</v>
      </c>
      <c r="M50" s="9">
        <f t="shared" si="9"/>
        <v>3.7853652263374485E-3</v>
      </c>
      <c r="N50" s="11">
        <f t="shared" si="9"/>
        <v>3.6104681069958847E-3</v>
      </c>
      <c r="P50" s="3">
        <f t="shared" si="4"/>
        <v>46</v>
      </c>
    </row>
    <row r="51" spans="1:16" s="2" customFormat="1" x14ac:dyDescent="0.2">
      <c r="A51" s="25">
        <f t="shared" si="8"/>
        <v>1.655092592592592E-2</v>
      </c>
      <c r="B51" s="9">
        <f t="shared" si="10"/>
        <v>1.2136702674897118E-3</v>
      </c>
      <c r="C51" s="10">
        <f t="shared" si="10"/>
        <v>1.8494405864197534E-3</v>
      </c>
      <c r="D51" s="10">
        <f t="shared" si="10"/>
        <v>2.4736368312757201E-3</v>
      </c>
      <c r="E51" s="10">
        <f t="shared" si="10"/>
        <v>3.1209812242798353E-3</v>
      </c>
      <c r="F51" s="10">
        <f t="shared" si="10"/>
        <v>3.7876961162551437E-3</v>
      </c>
      <c r="G51" s="10">
        <f t="shared" si="10"/>
        <v>5.1402552726337444E-3</v>
      </c>
      <c r="H51" s="11">
        <f t="shared" si="10"/>
        <v>6.4850180041152259E-3</v>
      </c>
      <c r="I51" s="9">
        <f t="shared" si="10"/>
        <v>3.425925925925926E-3</v>
      </c>
      <c r="J51" s="10">
        <f t="shared" si="10"/>
        <v>3.5416666666666665E-3</v>
      </c>
      <c r="K51" s="10">
        <f t="shared" si="10"/>
        <v>3.6458333333333334E-3</v>
      </c>
      <c r="L51" s="11">
        <f t="shared" si="2"/>
        <v>4.1203703703703706E-3</v>
      </c>
      <c r="M51" s="9">
        <f t="shared" si="9"/>
        <v>3.8120498971193416E-3</v>
      </c>
      <c r="N51" s="11">
        <f t="shared" si="9"/>
        <v>3.6358667695473249E-3</v>
      </c>
      <c r="P51" s="3">
        <f t="shared" si="4"/>
        <v>47</v>
      </c>
    </row>
    <row r="52" spans="1:16" s="2" customFormat="1" x14ac:dyDescent="0.2">
      <c r="A52" s="25">
        <f t="shared" si="8"/>
        <v>1.6666666666666659E-2</v>
      </c>
      <c r="B52" s="9">
        <f t="shared" si="10"/>
        <v>1.2229938271604937E-3</v>
      </c>
      <c r="C52" s="10">
        <f t="shared" si="10"/>
        <v>1.8634259259259261E-3</v>
      </c>
      <c r="D52" s="10">
        <f t="shared" si="10"/>
        <v>2.4922839506172842E-3</v>
      </c>
      <c r="E52" s="10">
        <f t="shared" si="10"/>
        <v>3.14429012345679E-3</v>
      </c>
      <c r="F52" s="10">
        <f t="shared" si="10"/>
        <v>3.8155864197530857E-3</v>
      </c>
      <c r="G52" s="10">
        <f t="shared" si="10"/>
        <v>5.1774691358024687E-3</v>
      </c>
      <c r="H52" s="11">
        <f t="shared" si="10"/>
        <v>6.5316358024691355E-3</v>
      </c>
      <c r="I52" s="9">
        <f t="shared" si="10"/>
        <v>3.449074074074074E-3</v>
      </c>
      <c r="J52" s="10">
        <f t="shared" si="10"/>
        <v>3.5648148148148149E-3</v>
      </c>
      <c r="K52" s="10">
        <f t="shared" si="10"/>
        <v>3.6689814814814814E-3</v>
      </c>
      <c r="L52" s="11">
        <f t="shared" si="2"/>
        <v>4.1435185185185186E-3</v>
      </c>
      <c r="M52" s="9">
        <f t="shared" si="9"/>
        <v>3.8387345679012346E-3</v>
      </c>
      <c r="N52" s="11">
        <f t="shared" si="9"/>
        <v>3.6612654320987651E-3</v>
      </c>
      <c r="P52" s="3">
        <f t="shared" si="4"/>
        <v>48</v>
      </c>
    </row>
    <row r="53" spans="1:16" s="2" customFormat="1" x14ac:dyDescent="0.2">
      <c r="A53" s="25">
        <f t="shared" si="8"/>
        <v>1.6782407407407399E-2</v>
      </c>
      <c r="B53" s="9">
        <f t="shared" si="10"/>
        <v>1.2323173868312757E-3</v>
      </c>
      <c r="C53" s="10">
        <f t="shared" si="10"/>
        <v>1.8774112654320989E-3</v>
      </c>
      <c r="D53" s="10">
        <f t="shared" si="10"/>
        <v>2.5109310699588478E-3</v>
      </c>
      <c r="E53" s="10">
        <f t="shared" si="10"/>
        <v>3.1675990226337448E-3</v>
      </c>
      <c r="F53" s="10">
        <f t="shared" si="10"/>
        <v>3.8434767232510287E-3</v>
      </c>
      <c r="G53" s="10">
        <f t="shared" si="10"/>
        <v>5.2146829989711931E-3</v>
      </c>
      <c r="H53" s="11">
        <f t="shared" si="10"/>
        <v>6.578253600823045E-3</v>
      </c>
      <c r="I53" s="9">
        <f t="shared" si="10"/>
        <v>3.472222222222222E-3</v>
      </c>
      <c r="J53" s="10">
        <f t="shared" si="10"/>
        <v>3.5879629629629629E-3</v>
      </c>
      <c r="K53" s="10">
        <f t="shared" si="10"/>
        <v>3.6921296296296294E-3</v>
      </c>
      <c r="L53" s="11">
        <f t="shared" si="2"/>
        <v>4.1666666666666666E-3</v>
      </c>
      <c r="M53" s="9">
        <f t="shared" si="9"/>
        <v>3.8654192386831277E-3</v>
      </c>
      <c r="N53" s="11">
        <f t="shared" si="9"/>
        <v>3.6866640946502053E-3</v>
      </c>
      <c r="P53" s="3">
        <f t="shared" si="4"/>
        <v>49</v>
      </c>
    </row>
    <row r="54" spans="1:16" s="2" customFormat="1" x14ac:dyDescent="0.2">
      <c r="A54" s="25">
        <f t="shared" si="8"/>
        <v>1.6898148148148138E-2</v>
      </c>
      <c r="B54" s="9">
        <f t="shared" si="10"/>
        <v>1.2416409465020575E-3</v>
      </c>
      <c r="C54" s="10">
        <f t="shared" si="10"/>
        <v>1.8913966049382718E-3</v>
      </c>
      <c r="D54" s="10">
        <f t="shared" si="10"/>
        <v>2.5295781893004115E-3</v>
      </c>
      <c r="E54" s="10">
        <f t="shared" si="10"/>
        <v>3.1909079218106996E-3</v>
      </c>
      <c r="F54" s="10">
        <f t="shared" si="10"/>
        <v>3.8713670267489708E-3</v>
      </c>
      <c r="G54" s="10">
        <f t="shared" si="10"/>
        <v>5.2518968621399174E-3</v>
      </c>
      <c r="H54" s="11">
        <f t="shared" si="10"/>
        <v>6.6248713991769546E-3</v>
      </c>
      <c r="I54" s="9">
        <f t="shared" si="10"/>
        <v>3.4953703703703705E-3</v>
      </c>
      <c r="J54" s="10">
        <f t="shared" si="10"/>
        <v>3.6111111111111109E-3</v>
      </c>
      <c r="K54" s="10">
        <f t="shared" si="10"/>
        <v>3.7152777777777778E-3</v>
      </c>
      <c r="L54" s="11">
        <f t="shared" si="2"/>
        <v>4.1898148148148146E-3</v>
      </c>
      <c r="M54" s="9">
        <f t="shared" si="9"/>
        <v>3.8921039094650207E-3</v>
      </c>
      <c r="N54" s="11">
        <f t="shared" si="9"/>
        <v>3.7120627572016455E-3</v>
      </c>
      <c r="P54" s="3">
        <f t="shared" si="4"/>
        <v>50</v>
      </c>
    </row>
    <row r="55" spans="1:16" s="2" customFormat="1" x14ac:dyDescent="0.2">
      <c r="A55" s="25">
        <f t="shared" si="8"/>
        <v>1.7013888888888877E-2</v>
      </c>
      <c r="B55" s="9">
        <f t="shared" ref="B55:K64" si="11">B$4+$P55*B$3</f>
        <v>1.2509645061728396E-3</v>
      </c>
      <c r="C55" s="10">
        <f t="shared" si="11"/>
        <v>1.9053819444444448E-3</v>
      </c>
      <c r="D55" s="10">
        <f t="shared" si="11"/>
        <v>2.5482253086419751E-3</v>
      </c>
      <c r="E55" s="10">
        <f t="shared" si="11"/>
        <v>3.2142168209876544E-3</v>
      </c>
      <c r="F55" s="10">
        <f t="shared" si="11"/>
        <v>3.8992573302469129E-3</v>
      </c>
      <c r="G55" s="10">
        <f t="shared" si="11"/>
        <v>5.2891107253086409E-3</v>
      </c>
      <c r="H55" s="11">
        <f t="shared" si="11"/>
        <v>6.6714891975308641E-3</v>
      </c>
      <c r="I55" s="9">
        <f t="shared" si="11"/>
        <v>3.5185185185185189E-3</v>
      </c>
      <c r="J55" s="10">
        <f t="shared" si="11"/>
        <v>3.634259259259259E-3</v>
      </c>
      <c r="K55" s="10">
        <f t="shared" si="11"/>
        <v>3.7384259259259263E-3</v>
      </c>
      <c r="L55" s="11">
        <f t="shared" si="2"/>
        <v>4.2129629629629635E-3</v>
      </c>
      <c r="M55" s="9">
        <f t="shared" si="9"/>
        <v>3.9187885802469142E-3</v>
      </c>
      <c r="N55" s="11">
        <f t="shared" si="9"/>
        <v>3.7374614197530861E-3</v>
      </c>
      <c r="P55" s="3">
        <f t="shared" si="4"/>
        <v>51</v>
      </c>
    </row>
    <row r="56" spans="1:16" s="2" customFormat="1" x14ac:dyDescent="0.2">
      <c r="A56" s="25">
        <f t="shared" si="8"/>
        <v>1.7129629629629616E-2</v>
      </c>
      <c r="B56" s="9">
        <f t="shared" si="11"/>
        <v>1.2602880658436214E-3</v>
      </c>
      <c r="C56" s="10">
        <f t="shared" si="11"/>
        <v>1.9193672839506175E-3</v>
      </c>
      <c r="D56" s="10">
        <f t="shared" si="11"/>
        <v>2.5668724279835392E-3</v>
      </c>
      <c r="E56" s="10">
        <f t="shared" si="11"/>
        <v>3.2375257201646091E-3</v>
      </c>
      <c r="F56" s="10">
        <f t="shared" si="11"/>
        <v>3.9271476337448558E-3</v>
      </c>
      <c r="G56" s="10">
        <f t="shared" si="11"/>
        <v>5.3263245884773661E-3</v>
      </c>
      <c r="H56" s="11">
        <f t="shared" si="11"/>
        <v>6.7181069958847737E-3</v>
      </c>
      <c r="I56" s="9">
        <f t="shared" si="11"/>
        <v>3.5416666666666669E-3</v>
      </c>
      <c r="J56" s="10">
        <f t="shared" si="11"/>
        <v>3.657407407407407E-3</v>
      </c>
      <c r="K56" s="10">
        <f t="shared" si="11"/>
        <v>3.7615740740740743E-3</v>
      </c>
      <c r="L56" s="11">
        <f t="shared" si="2"/>
        <v>4.2361111111111115E-3</v>
      </c>
      <c r="M56" s="9">
        <f t="shared" si="9"/>
        <v>3.9454732510288068E-3</v>
      </c>
      <c r="N56" s="11">
        <f t="shared" si="9"/>
        <v>3.7628600823045263E-3</v>
      </c>
      <c r="P56" s="3">
        <f t="shared" si="4"/>
        <v>52</v>
      </c>
    </row>
    <row r="57" spans="1:16" s="2" customFormat="1" x14ac:dyDescent="0.2">
      <c r="A57" s="25">
        <f t="shared" si="8"/>
        <v>1.7245370370370355E-2</v>
      </c>
      <c r="B57" s="9">
        <f t="shared" si="11"/>
        <v>1.2696116255144032E-3</v>
      </c>
      <c r="C57" s="10">
        <f t="shared" si="11"/>
        <v>1.9333526234567903E-3</v>
      </c>
      <c r="D57" s="10">
        <f t="shared" si="11"/>
        <v>2.5855195473251029E-3</v>
      </c>
      <c r="E57" s="10">
        <f t="shared" si="11"/>
        <v>3.2608346193415639E-3</v>
      </c>
      <c r="F57" s="10">
        <f t="shared" si="11"/>
        <v>3.9550379372427979E-3</v>
      </c>
      <c r="G57" s="10">
        <f t="shared" si="11"/>
        <v>5.3635384516460896E-3</v>
      </c>
      <c r="H57" s="11">
        <f t="shared" si="11"/>
        <v>6.7647247942386832E-3</v>
      </c>
      <c r="I57" s="9">
        <f t="shared" si="11"/>
        <v>3.5648148148148149E-3</v>
      </c>
      <c r="J57" s="10">
        <f t="shared" si="11"/>
        <v>3.6805555555555554E-3</v>
      </c>
      <c r="K57" s="10">
        <f t="shared" si="11"/>
        <v>3.7847222222222223E-3</v>
      </c>
      <c r="L57" s="11">
        <f t="shared" si="2"/>
        <v>4.2592592592592595E-3</v>
      </c>
      <c r="M57" s="9">
        <f t="shared" si="9"/>
        <v>3.9721579218106994E-3</v>
      </c>
      <c r="N57" s="11">
        <f t="shared" si="9"/>
        <v>3.7882587448559669E-3</v>
      </c>
      <c r="P57" s="3">
        <f t="shared" si="4"/>
        <v>53</v>
      </c>
    </row>
    <row r="58" spans="1:16" s="2" customFormat="1" x14ac:dyDescent="0.2">
      <c r="A58" s="25">
        <f t="shared" si="8"/>
        <v>1.7361111111111095E-2</v>
      </c>
      <c r="B58" s="9">
        <f t="shared" si="11"/>
        <v>1.278935185185185E-3</v>
      </c>
      <c r="C58" s="10">
        <f t="shared" si="11"/>
        <v>1.9473379629629632E-3</v>
      </c>
      <c r="D58" s="10">
        <f t="shared" si="11"/>
        <v>2.604166666666667E-3</v>
      </c>
      <c r="E58" s="10">
        <f t="shared" si="11"/>
        <v>3.2841435185185187E-3</v>
      </c>
      <c r="F58" s="10">
        <f t="shared" si="11"/>
        <v>3.98292824074074E-3</v>
      </c>
      <c r="G58" s="10">
        <f t="shared" si="11"/>
        <v>5.4007523148148148E-3</v>
      </c>
      <c r="H58" s="11">
        <f t="shared" si="11"/>
        <v>6.8113425925925928E-3</v>
      </c>
      <c r="I58" s="9">
        <f t="shared" si="11"/>
        <v>3.5879629629629629E-3</v>
      </c>
      <c r="J58" s="10">
        <f t="shared" si="11"/>
        <v>3.7037037037037038E-3</v>
      </c>
      <c r="K58" s="10">
        <f t="shared" si="11"/>
        <v>3.8078703703703703E-3</v>
      </c>
      <c r="L58" s="11">
        <f t="shared" si="2"/>
        <v>4.2824074074074075E-3</v>
      </c>
      <c r="M58" s="9">
        <f t="shared" si="9"/>
        <v>3.9988425925925929E-3</v>
      </c>
      <c r="N58" s="11">
        <f t="shared" si="9"/>
        <v>3.8136574074074071E-3</v>
      </c>
      <c r="P58" s="3">
        <f t="shared" si="4"/>
        <v>54</v>
      </c>
    </row>
    <row r="59" spans="1:16" s="2" customFormat="1" x14ac:dyDescent="0.2">
      <c r="A59" s="25">
        <f t="shared" si="8"/>
        <v>1.7476851851851834E-2</v>
      </c>
      <c r="B59" s="9">
        <f t="shared" si="11"/>
        <v>1.2882587448559671E-3</v>
      </c>
      <c r="C59" s="10">
        <f t="shared" si="11"/>
        <v>1.9613233024691362E-3</v>
      </c>
      <c r="D59" s="10">
        <f t="shared" si="11"/>
        <v>2.6228137860082306E-3</v>
      </c>
      <c r="E59" s="10">
        <f t="shared" si="11"/>
        <v>3.3074524176954735E-3</v>
      </c>
      <c r="F59" s="10">
        <f t="shared" si="11"/>
        <v>4.010818544238683E-3</v>
      </c>
      <c r="G59" s="10">
        <f t="shared" si="11"/>
        <v>5.4379661779835383E-3</v>
      </c>
      <c r="H59" s="11">
        <f t="shared" si="11"/>
        <v>6.8579603909465024E-3</v>
      </c>
      <c r="I59" s="9">
        <f t="shared" si="11"/>
        <v>3.6111111111111109E-3</v>
      </c>
      <c r="J59" s="10">
        <f t="shared" si="11"/>
        <v>3.7268518518518519E-3</v>
      </c>
      <c r="K59" s="10">
        <f t="shared" si="11"/>
        <v>3.8310185185185183E-3</v>
      </c>
      <c r="L59" s="11">
        <f t="shared" si="2"/>
        <v>4.3055555555555555E-3</v>
      </c>
      <c r="M59" s="9">
        <f t="shared" si="9"/>
        <v>4.0255272633744855E-3</v>
      </c>
      <c r="N59" s="11">
        <f t="shared" si="9"/>
        <v>3.8390560699588473E-3</v>
      </c>
      <c r="P59" s="3">
        <f t="shared" si="4"/>
        <v>55</v>
      </c>
    </row>
    <row r="60" spans="1:16" s="2" customFormat="1" x14ac:dyDescent="0.2">
      <c r="A60" s="25">
        <f t="shared" si="8"/>
        <v>1.7592592592592573E-2</v>
      </c>
      <c r="B60" s="9">
        <f t="shared" si="11"/>
        <v>1.2975823045267489E-3</v>
      </c>
      <c r="C60" s="10">
        <f t="shared" si="11"/>
        <v>1.9753086419753091E-3</v>
      </c>
      <c r="D60" s="10">
        <f t="shared" si="11"/>
        <v>2.6414609053497943E-3</v>
      </c>
      <c r="E60" s="10">
        <f t="shared" si="11"/>
        <v>3.3307613168724283E-3</v>
      </c>
      <c r="F60" s="10">
        <f t="shared" si="11"/>
        <v>4.0387088477366251E-3</v>
      </c>
      <c r="G60" s="10">
        <f t="shared" si="11"/>
        <v>5.4751800411522627E-3</v>
      </c>
      <c r="H60" s="11">
        <f t="shared" si="11"/>
        <v>6.9045781893004119E-3</v>
      </c>
      <c r="I60" s="9">
        <f t="shared" si="11"/>
        <v>3.6342592592592594E-3</v>
      </c>
      <c r="J60" s="10">
        <f t="shared" si="11"/>
        <v>3.7499999999999999E-3</v>
      </c>
      <c r="K60" s="10">
        <f t="shared" si="11"/>
        <v>3.8541666666666668E-3</v>
      </c>
      <c r="L60" s="11">
        <f t="shared" si="2"/>
        <v>4.3287037037037035E-3</v>
      </c>
      <c r="M60" s="9">
        <f t="shared" si="9"/>
        <v>4.052211934156379E-3</v>
      </c>
      <c r="N60" s="11">
        <f t="shared" si="9"/>
        <v>3.8644547325102875E-3</v>
      </c>
      <c r="P60" s="3">
        <f t="shared" si="4"/>
        <v>56</v>
      </c>
    </row>
    <row r="61" spans="1:16" s="2" customFormat="1" x14ac:dyDescent="0.2">
      <c r="A61" s="25">
        <f t="shared" si="8"/>
        <v>1.7708333333333312E-2</v>
      </c>
      <c r="B61" s="9">
        <f t="shared" si="11"/>
        <v>1.3069058641975309E-3</v>
      </c>
      <c r="C61" s="10">
        <f t="shared" si="11"/>
        <v>1.9892939814814816E-3</v>
      </c>
      <c r="D61" s="10">
        <f t="shared" si="11"/>
        <v>2.6601080246913579E-3</v>
      </c>
      <c r="E61" s="10">
        <f t="shared" si="11"/>
        <v>3.354070216049383E-3</v>
      </c>
      <c r="F61" s="10">
        <f t="shared" si="11"/>
        <v>4.0665991512345671E-3</v>
      </c>
      <c r="G61" s="10">
        <f t="shared" si="11"/>
        <v>5.512393904320987E-3</v>
      </c>
      <c r="H61" s="11">
        <f t="shared" si="11"/>
        <v>6.9511959876543206E-3</v>
      </c>
      <c r="I61" s="9">
        <f t="shared" si="11"/>
        <v>3.6574074074074078E-3</v>
      </c>
      <c r="J61" s="10">
        <f t="shared" si="11"/>
        <v>3.7731481481481479E-3</v>
      </c>
      <c r="K61" s="10">
        <f t="shared" si="11"/>
        <v>3.8773148148148152E-3</v>
      </c>
      <c r="L61" s="11">
        <f t="shared" si="2"/>
        <v>4.3518518518518524E-3</v>
      </c>
      <c r="M61" s="9">
        <f t="shared" si="9"/>
        <v>4.0788966049382716E-3</v>
      </c>
      <c r="N61" s="11">
        <f t="shared" si="9"/>
        <v>3.8898533950617281E-3</v>
      </c>
      <c r="P61" s="3">
        <f t="shared" si="4"/>
        <v>57</v>
      </c>
    </row>
    <row r="62" spans="1:16" s="2" customFormat="1" x14ac:dyDescent="0.2">
      <c r="A62" s="25">
        <f t="shared" si="8"/>
        <v>1.7824074074074051E-2</v>
      </c>
      <c r="B62" s="9">
        <f t="shared" si="11"/>
        <v>1.3162294238683128E-3</v>
      </c>
      <c r="C62" s="10">
        <f t="shared" si="11"/>
        <v>2.0032793209876546E-3</v>
      </c>
      <c r="D62" s="10">
        <f t="shared" si="11"/>
        <v>2.6787551440329216E-3</v>
      </c>
      <c r="E62" s="10">
        <f t="shared" si="11"/>
        <v>3.3773791152263378E-3</v>
      </c>
      <c r="F62" s="10">
        <f t="shared" si="11"/>
        <v>4.0944894547325101E-3</v>
      </c>
      <c r="G62" s="10">
        <f t="shared" si="11"/>
        <v>5.5496077674897113E-3</v>
      </c>
      <c r="H62" s="11">
        <f t="shared" si="11"/>
        <v>6.9978137860082302E-3</v>
      </c>
      <c r="I62" s="9">
        <f t="shared" si="11"/>
        <v>3.6805555555555558E-3</v>
      </c>
      <c r="J62" s="10">
        <f t="shared" si="11"/>
        <v>3.7962962962962959E-3</v>
      </c>
      <c r="K62" s="10">
        <f t="shared" si="11"/>
        <v>3.9004629629629632E-3</v>
      </c>
      <c r="L62" s="11">
        <f t="shared" si="2"/>
        <v>4.3750000000000004E-3</v>
      </c>
      <c r="M62" s="9">
        <f t="shared" si="9"/>
        <v>4.1055812757201642E-3</v>
      </c>
      <c r="N62" s="11">
        <f t="shared" si="9"/>
        <v>3.9152520576131687E-3</v>
      </c>
      <c r="P62" s="3">
        <f t="shared" si="4"/>
        <v>58</v>
      </c>
    </row>
    <row r="63" spans="1:16" s="2" customFormat="1" ht="15" customHeight="1" x14ac:dyDescent="0.2">
      <c r="A63" s="25">
        <f t="shared" si="8"/>
        <v>1.793981481481479E-2</v>
      </c>
      <c r="B63" s="9">
        <f t="shared" si="11"/>
        <v>1.3255529835390946E-3</v>
      </c>
      <c r="C63" s="10">
        <f t="shared" si="11"/>
        <v>2.0172646604938275E-3</v>
      </c>
      <c r="D63" s="10">
        <f t="shared" si="11"/>
        <v>2.6974022633744856E-3</v>
      </c>
      <c r="E63" s="10">
        <f t="shared" si="11"/>
        <v>3.4006880144032926E-3</v>
      </c>
      <c r="F63" s="10">
        <f t="shared" si="11"/>
        <v>4.1223797582304522E-3</v>
      </c>
      <c r="G63" s="10">
        <f t="shared" si="11"/>
        <v>5.5868216306584357E-3</v>
      </c>
      <c r="H63" s="11">
        <f t="shared" si="11"/>
        <v>7.0444315843621397E-3</v>
      </c>
      <c r="I63" s="9">
        <f t="shared" si="11"/>
        <v>3.7037037037037038E-3</v>
      </c>
      <c r="J63" s="10">
        <f t="shared" si="11"/>
        <v>3.8194444444444443E-3</v>
      </c>
      <c r="K63" s="10">
        <f t="shared" si="11"/>
        <v>3.9236111111111112E-3</v>
      </c>
      <c r="L63" s="11">
        <f t="shared" si="2"/>
        <v>4.3981481481481484E-3</v>
      </c>
      <c r="M63" s="9">
        <f t="shared" si="9"/>
        <v>4.1322659465020577E-3</v>
      </c>
      <c r="N63" s="11">
        <f t="shared" si="9"/>
        <v>3.9406507201646089E-3</v>
      </c>
      <c r="P63" s="3">
        <f t="shared" si="4"/>
        <v>59</v>
      </c>
    </row>
    <row r="64" spans="1:16" s="2" customFormat="1" x14ac:dyDescent="0.2">
      <c r="A64" s="25">
        <f t="shared" si="8"/>
        <v>1.805555555555553E-2</v>
      </c>
      <c r="B64" s="9">
        <f t="shared" si="11"/>
        <v>1.3348765432098764E-3</v>
      </c>
      <c r="C64" s="10">
        <f t="shared" si="11"/>
        <v>2.0312500000000001E-3</v>
      </c>
      <c r="D64" s="10">
        <f t="shared" si="11"/>
        <v>2.7160493827160493E-3</v>
      </c>
      <c r="E64" s="10">
        <f t="shared" si="11"/>
        <v>3.4239969135802474E-3</v>
      </c>
      <c r="F64" s="10">
        <f t="shared" si="11"/>
        <v>4.1502700617283943E-3</v>
      </c>
      <c r="G64" s="10">
        <f t="shared" si="11"/>
        <v>5.62403549382716E-3</v>
      </c>
      <c r="H64" s="11">
        <f t="shared" si="11"/>
        <v>7.0910493827160493E-3</v>
      </c>
      <c r="I64" s="9">
        <f t="shared" si="11"/>
        <v>3.7268518518518519E-3</v>
      </c>
      <c r="J64" s="10">
        <f t="shared" si="11"/>
        <v>3.8425925925925923E-3</v>
      </c>
      <c r="K64" s="10">
        <f t="shared" si="11"/>
        <v>3.9467592592592592E-3</v>
      </c>
      <c r="L64" s="11">
        <f t="shared" si="2"/>
        <v>4.4212962962962964E-3</v>
      </c>
      <c r="M64" s="9">
        <f t="shared" si="9"/>
        <v>4.1589506172839512E-3</v>
      </c>
      <c r="N64" s="11">
        <f t="shared" si="9"/>
        <v>3.9660493827160491E-3</v>
      </c>
      <c r="P64" s="3">
        <f t="shared" si="4"/>
        <v>60</v>
      </c>
    </row>
    <row r="65" spans="1:16" s="2" customFormat="1" ht="15" customHeight="1" x14ac:dyDescent="0.2">
      <c r="A65" s="25">
        <f t="shared" si="8"/>
        <v>1.8171296296296269E-2</v>
      </c>
      <c r="B65" s="9">
        <f t="shared" ref="B65:K74" si="12">B$4+$P65*B$3</f>
        <v>1.3442001028806582E-3</v>
      </c>
      <c r="C65" s="10">
        <f t="shared" si="12"/>
        <v>2.045235339506173E-3</v>
      </c>
      <c r="D65" s="10">
        <f t="shared" si="12"/>
        <v>2.7346965020576134E-3</v>
      </c>
      <c r="E65" s="10">
        <f t="shared" si="12"/>
        <v>3.4473058127572022E-3</v>
      </c>
      <c r="F65" s="10">
        <f t="shared" si="12"/>
        <v>4.1781603652263372E-3</v>
      </c>
      <c r="G65" s="10">
        <f t="shared" si="12"/>
        <v>5.6612493569958844E-3</v>
      </c>
      <c r="H65" s="11">
        <f t="shared" si="12"/>
        <v>7.1376671810699588E-3</v>
      </c>
      <c r="I65" s="9">
        <f t="shared" si="12"/>
        <v>3.7499999999999999E-3</v>
      </c>
      <c r="J65" s="10">
        <f t="shared" si="12"/>
        <v>3.8657407407407408E-3</v>
      </c>
      <c r="K65" s="10">
        <f t="shared" si="12"/>
        <v>3.9699074074074072E-3</v>
      </c>
      <c r="L65" s="11">
        <f t="shared" si="2"/>
        <v>4.4444444444444444E-3</v>
      </c>
      <c r="M65" s="9">
        <f t="shared" si="9"/>
        <v>4.1856352880658438E-3</v>
      </c>
      <c r="N65" s="11">
        <f t="shared" si="9"/>
        <v>3.9914480452674893E-3</v>
      </c>
      <c r="P65" s="3">
        <f t="shared" si="4"/>
        <v>61</v>
      </c>
    </row>
    <row r="66" spans="1:16" s="2" customFormat="1" ht="15" customHeight="1" x14ac:dyDescent="0.2">
      <c r="A66" s="25">
        <f t="shared" si="8"/>
        <v>1.8287037037037008E-2</v>
      </c>
      <c r="B66" s="9">
        <f t="shared" si="12"/>
        <v>1.3535236625514403E-3</v>
      </c>
      <c r="C66" s="10">
        <f t="shared" si="12"/>
        <v>2.059220679012346E-3</v>
      </c>
      <c r="D66" s="10">
        <f t="shared" si="12"/>
        <v>2.753343621399177E-3</v>
      </c>
      <c r="E66" s="10">
        <f t="shared" si="12"/>
        <v>3.4706147119341565E-3</v>
      </c>
      <c r="F66" s="10">
        <f t="shared" si="12"/>
        <v>4.2060506687242793E-3</v>
      </c>
      <c r="G66" s="10">
        <f t="shared" si="12"/>
        <v>5.6984632201646079E-3</v>
      </c>
      <c r="H66" s="11">
        <f t="shared" si="12"/>
        <v>7.1842849794238675E-3</v>
      </c>
      <c r="I66" s="9">
        <f t="shared" si="12"/>
        <v>3.7731481481481483E-3</v>
      </c>
      <c r="J66" s="10">
        <f t="shared" si="12"/>
        <v>3.8888888888888888E-3</v>
      </c>
      <c r="K66" s="10">
        <f t="shared" si="12"/>
        <v>3.9930555555555552E-3</v>
      </c>
      <c r="L66" s="11">
        <f t="shared" si="2"/>
        <v>4.4675925925925924E-3</v>
      </c>
      <c r="M66" s="9">
        <f t="shared" si="9"/>
        <v>4.2123199588477364E-3</v>
      </c>
      <c r="N66" s="11">
        <f t="shared" si="9"/>
        <v>4.0168467078189295E-3</v>
      </c>
      <c r="P66" s="3">
        <f t="shared" si="4"/>
        <v>62</v>
      </c>
    </row>
    <row r="67" spans="1:16" s="2" customFormat="1" ht="15" customHeight="1" x14ac:dyDescent="0.2">
      <c r="A67" s="25">
        <f t="shared" si="8"/>
        <v>1.8402777777777747E-2</v>
      </c>
      <c r="B67" s="9">
        <f t="shared" si="12"/>
        <v>1.3628472222222221E-3</v>
      </c>
      <c r="C67" s="10">
        <f t="shared" si="12"/>
        <v>2.0732060185185189E-3</v>
      </c>
      <c r="D67" s="10">
        <f t="shared" si="12"/>
        <v>2.7719907407407407E-3</v>
      </c>
      <c r="E67" s="10">
        <f t="shared" si="12"/>
        <v>3.4939236111111113E-3</v>
      </c>
      <c r="F67" s="10">
        <f t="shared" si="12"/>
        <v>4.2339409722222214E-3</v>
      </c>
      <c r="G67" s="10">
        <f t="shared" si="12"/>
        <v>5.7356770833333331E-3</v>
      </c>
      <c r="H67" s="11">
        <f t="shared" si="12"/>
        <v>7.2309027777777771E-3</v>
      </c>
      <c r="I67" s="9">
        <f t="shared" si="12"/>
        <v>3.7962962962962963E-3</v>
      </c>
      <c r="J67" s="10">
        <f t="shared" si="12"/>
        <v>3.9120370370370368E-3</v>
      </c>
      <c r="K67" s="10">
        <f t="shared" si="12"/>
        <v>4.0162037037037041E-3</v>
      </c>
      <c r="L67" s="11">
        <f t="shared" si="2"/>
        <v>4.4907407407407413E-3</v>
      </c>
      <c r="M67" s="9">
        <f t="shared" si="9"/>
        <v>4.2390046296296299E-3</v>
      </c>
      <c r="N67" s="11">
        <f t="shared" si="9"/>
        <v>4.0422453703703697E-3</v>
      </c>
      <c r="P67" s="3">
        <f t="shared" si="4"/>
        <v>63</v>
      </c>
    </row>
    <row r="68" spans="1:16" s="2" customFormat="1" x14ac:dyDescent="0.2">
      <c r="A68" s="25">
        <f t="shared" si="8"/>
        <v>1.8518518518518486E-2</v>
      </c>
      <c r="B68" s="9">
        <f t="shared" si="12"/>
        <v>1.3721707818930041E-3</v>
      </c>
      <c r="C68" s="10">
        <f t="shared" si="12"/>
        <v>2.0871913580246919E-3</v>
      </c>
      <c r="D68" s="10">
        <f t="shared" si="12"/>
        <v>2.7906378600823043E-3</v>
      </c>
      <c r="E68" s="10">
        <f t="shared" si="12"/>
        <v>3.5172325102880661E-3</v>
      </c>
      <c r="F68" s="10">
        <f t="shared" si="12"/>
        <v>4.2618312757201644E-3</v>
      </c>
      <c r="G68" s="10">
        <f t="shared" si="12"/>
        <v>5.7728909465020566E-3</v>
      </c>
      <c r="H68" s="11">
        <f t="shared" si="12"/>
        <v>7.2775205761316866E-3</v>
      </c>
      <c r="I68" s="9">
        <f t="shared" si="12"/>
        <v>3.8194444444444448E-3</v>
      </c>
      <c r="J68" s="10">
        <f t="shared" si="12"/>
        <v>3.9351851851851848E-3</v>
      </c>
      <c r="K68" s="10">
        <f t="shared" si="12"/>
        <v>4.0393518518518521E-3</v>
      </c>
      <c r="L68" s="11">
        <f t="shared" si="2"/>
        <v>4.5138888888888893E-3</v>
      </c>
      <c r="M68" s="9">
        <f t="shared" si="9"/>
        <v>4.2656893004115225E-3</v>
      </c>
      <c r="N68" s="11">
        <f t="shared" si="9"/>
        <v>4.0676440329218098E-3</v>
      </c>
      <c r="P68" s="3">
        <f t="shared" si="4"/>
        <v>64</v>
      </c>
    </row>
    <row r="69" spans="1:16" s="2" customFormat="1" ht="15" customHeight="1" x14ac:dyDescent="0.2">
      <c r="A69" s="25">
        <f t="shared" ref="A69:A100" si="13">A68+$A$3</f>
        <v>1.8634259259259225E-2</v>
      </c>
      <c r="B69" s="9">
        <f t="shared" si="12"/>
        <v>1.381494341563786E-3</v>
      </c>
      <c r="C69" s="10">
        <f t="shared" si="12"/>
        <v>2.1011766975308644E-3</v>
      </c>
      <c r="D69" s="10">
        <f t="shared" si="12"/>
        <v>2.8092849794238684E-3</v>
      </c>
      <c r="E69" s="10">
        <f t="shared" si="12"/>
        <v>3.5405414094650208E-3</v>
      </c>
      <c r="F69" s="10">
        <f t="shared" si="12"/>
        <v>4.2897215792181064E-3</v>
      </c>
      <c r="G69" s="10">
        <f t="shared" si="12"/>
        <v>5.8101048096707818E-3</v>
      </c>
      <c r="H69" s="11">
        <f t="shared" si="12"/>
        <v>7.3241383744855962E-3</v>
      </c>
      <c r="I69" s="9">
        <f t="shared" si="12"/>
        <v>3.8425925925925928E-3</v>
      </c>
      <c r="J69" s="10">
        <f t="shared" si="12"/>
        <v>3.9583333333333328E-3</v>
      </c>
      <c r="K69" s="10">
        <f t="shared" si="12"/>
        <v>4.0625000000000001E-3</v>
      </c>
      <c r="L69" s="11">
        <f t="shared" ref="L69:L132" si="14">K69+41/86400</f>
        <v>4.5370370370370373E-3</v>
      </c>
      <c r="M69" s="9">
        <f t="shared" si="9"/>
        <v>4.292373971193416E-3</v>
      </c>
      <c r="N69" s="11">
        <f t="shared" si="9"/>
        <v>4.0930426954732509E-3</v>
      </c>
      <c r="P69" s="3">
        <f t="shared" si="4"/>
        <v>65</v>
      </c>
    </row>
    <row r="70" spans="1:16" s="2" customFormat="1" ht="15" customHeight="1" x14ac:dyDescent="0.2">
      <c r="A70" s="25">
        <f t="shared" si="13"/>
        <v>1.8749999999999965E-2</v>
      </c>
      <c r="B70" s="9">
        <f t="shared" si="12"/>
        <v>1.3908179012345678E-3</v>
      </c>
      <c r="C70" s="10">
        <f t="shared" si="12"/>
        <v>2.1151620370370374E-3</v>
      </c>
      <c r="D70" s="10">
        <f t="shared" si="12"/>
        <v>2.827932098765432E-3</v>
      </c>
      <c r="E70" s="10">
        <f t="shared" si="12"/>
        <v>3.5638503086419756E-3</v>
      </c>
      <c r="F70" s="10">
        <f t="shared" si="12"/>
        <v>4.3176118827160485E-3</v>
      </c>
      <c r="G70" s="10">
        <f t="shared" si="12"/>
        <v>5.8473186728395053E-3</v>
      </c>
      <c r="H70" s="11">
        <f t="shared" si="12"/>
        <v>7.3707561728395057E-3</v>
      </c>
      <c r="I70" s="9">
        <f t="shared" si="12"/>
        <v>3.8657407407407408E-3</v>
      </c>
      <c r="J70" s="10">
        <f t="shared" si="12"/>
        <v>3.9814814814814817E-3</v>
      </c>
      <c r="K70" s="10">
        <f t="shared" si="12"/>
        <v>4.0856481481481481E-3</v>
      </c>
      <c r="L70" s="11">
        <f t="shared" si="14"/>
        <v>4.5601851851851853E-3</v>
      </c>
      <c r="M70" s="9">
        <f t="shared" ref="M70:N101" si="15">M$4+$P70*M$3</f>
        <v>4.3190586419753086E-3</v>
      </c>
      <c r="N70" s="11">
        <f t="shared" si="15"/>
        <v>4.1184413580246911E-3</v>
      </c>
      <c r="P70" s="3">
        <f t="shared" ref="P70:P133" si="16">P69+1</f>
        <v>66</v>
      </c>
    </row>
    <row r="71" spans="1:16" s="2" customFormat="1" ht="15" customHeight="1" x14ac:dyDescent="0.2">
      <c r="A71" s="25">
        <f t="shared" si="13"/>
        <v>1.8865740740740704E-2</v>
      </c>
      <c r="B71" s="9">
        <f t="shared" si="12"/>
        <v>1.4001414609053496E-3</v>
      </c>
      <c r="C71" s="10">
        <f t="shared" si="12"/>
        <v>2.1291473765432103E-3</v>
      </c>
      <c r="D71" s="10">
        <f t="shared" si="12"/>
        <v>2.8465792181069961E-3</v>
      </c>
      <c r="E71" s="10">
        <f t="shared" si="12"/>
        <v>3.58715920781893E-3</v>
      </c>
      <c r="F71" s="10">
        <f t="shared" si="12"/>
        <v>4.3455021862139915E-3</v>
      </c>
      <c r="G71" s="10">
        <f t="shared" si="12"/>
        <v>5.8845325360082296E-3</v>
      </c>
      <c r="H71" s="11">
        <f t="shared" si="12"/>
        <v>7.4173739711934153E-3</v>
      </c>
      <c r="I71" s="9">
        <f t="shared" si="12"/>
        <v>3.8888888888888888E-3</v>
      </c>
      <c r="J71" s="10">
        <f t="shared" si="12"/>
        <v>4.0046296296296297E-3</v>
      </c>
      <c r="K71" s="10">
        <f t="shared" si="12"/>
        <v>4.1087962962962962E-3</v>
      </c>
      <c r="L71" s="11">
        <f t="shared" si="14"/>
        <v>4.5833333333333334E-3</v>
      </c>
      <c r="M71" s="9">
        <f t="shared" si="15"/>
        <v>4.3457433127572012E-3</v>
      </c>
      <c r="N71" s="11">
        <f t="shared" si="15"/>
        <v>4.1438400205761313E-3</v>
      </c>
      <c r="P71" s="3">
        <f t="shared" si="16"/>
        <v>67</v>
      </c>
    </row>
    <row r="72" spans="1:16" s="2" customFormat="1" ht="15" customHeight="1" x14ac:dyDescent="0.2">
      <c r="A72" s="25">
        <f t="shared" si="13"/>
        <v>1.8981481481481443E-2</v>
      </c>
      <c r="B72" s="9">
        <f t="shared" si="12"/>
        <v>1.4094650205761314E-3</v>
      </c>
      <c r="C72" s="10">
        <f t="shared" si="12"/>
        <v>2.1431327160493828E-3</v>
      </c>
      <c r="D72" s="10">
        <f t="shared" si="12"/>
        <v>2.8652263374485598E-3</v>
      </c>
      <c r="E72" s="10">
        <f t="shared" si="12"/>
        <v>3.6104681069958847E-3</v>
      </c>
      <c r="F72" s="10">
        <f t="shared" si="12"/>
        <v>4.3733924897119336E-3</v>
      </c>
      <c r="G72" s="10">
        <f t="shared" si="12"/>
        <v>5.9217463991769539E-3</v>
      </c>
      <c r="H72" s="11">
        <f t="shared" si="12"/>
        <v>7.4639917695473249E-3</v>
      </c>
      <c r="I72" s="9">
        <f t="shared" si="12"/>
        <v>3.9120370370370368E-3</v>
      </c>
      <c r="J72" s="10">
        <f t="shared" si="12"/>
        <v>4.0277777777777777E-3</v>
      </c>
      <c r="K72" s="10">
        <f t="shared" si="12"/>
        <v>4.131944444444445E-3</v>
      </c>
      <c r="L72" s="11">
        <f t="shared" si="14"/>
        <v>4.6064814814814822E-3</v>
      </c>
      <c r="M72" s="9">
        <f t="shared" si="15"/>
        <v>4.3724279835390947E-3</v>
      </c>
      <c r="N72" s="11">
        <f t="shared" si="15"/>
        <v>4.1692386831275715E-3</v>
      </c>
      <c r="P72" s="3">
        <f t="shared" si="16"/>
        <v>68</v>
      </c>
    </row>
    <row r="73" spans="1:16" s="2" customFormat="1" ht="15" customHeight="1" x14ac:dyDescent="0.2">
      <c r="A73" s="25">
        <f t="shared" si="13"/>
        <v>1.9097222222222182E-2</v>
      </c>
      <c r="B73" s="9">
        <f t="shared" si="12"/>
        <v>1.4187885802469135E-3</v>
      </c>
      <c r="C73" s="10">
        <f t="shared" si="12"/>
        <v>2.1571180555555558E-3</v>
      </c>
      <c r="D73" s="10">
        <f t="shared" si="12"/>
        <v>2.8838734567901234E-3</v>
      </c>
      <c r="E73" s="10">
        <f t="shared" si="12"/>
        <v>3.6337770061728395E-3</v>
      </c>
      <c r="F73" s="10">
        <f t="shared" si="12"/>
        <v>4.4012827932098757E-3</v>
      </c>
      <c r="G73" s="10">
        <f t="shared" si="12"/>
        <v>5.9589602623456783E-3</v>
      </c>
      <c r="H73" s="11">
        <f t="shared" si="12"/>
        <v>7.5106095679012344E-3</v>
      </c>
      <c r="I73" s="9">
        <f t="shared" si="12"/>
        <v>3.9351851851851857E-3</v>
      </c>
      <c r="J73" s="10">
        <f t="shared" si="12"/>
        <v>4.0509259259259257E-3</v>
      </c>
      <c r="K73" s="10">
        <f t="shared" si="12"/>
        <v>4.1550925925925922E-3</v>
      </c>
      <c r="L73" s="11">
        <f t="shared" si="14"/>
        <v>4.6296296296296294E-3</v>
      </c>
      <c r="M73" s="9">
        <f t="shared" si="15"/>
        <v>4.3991126543209882E-3</v>
      </c>
      <c r="N73" s="11">
        <f t="shared" si="15"/>
        <v>4.1946373456790116E-3</v>
      </c>
      <c r="P73" s="3">
        <f t="shared" si="16"/>
        <v>69</v>
      </c>
    </row>
    <row r="74" spans="1:16" s="2" customFormat="1" ht="15" customHeight="1" x14ac:dyDescent="0.2">
      <c r="A74" s="25">
        <f t="shared" si="13"/>
        <v>1.9212962962962921E-2</v>
      </c>
      <c r="B74" s="9">
        <f t="shared" si="12"/>
        <v>1.4281121399176955E-3</v>
      </c>
      <c r="C74" s="10">
        <f t="shared" si="12"/>
        <v>2.1711033950617287E-3</v>
      </c>
      <c r="D74" s="10">
        <f t="shared" si="12"/>
        <v>2.9025205761316871E-3</v>
      </c>
      <c r="E74" s="10">
        <f t="shared" si="12"/>
        <v>3.6570859053497943E-3</v>
      </c>
      <c r="F74" s="10">
        <f t="shared" si="12"/>
        <v>4.4291730967078186E-3</v>
      </c>
      <c r="G74" s="10">
        <f t="shared" si="12"/>
        <v>5.9961741255144026E-3</v>
      </c>
      <c r="H74" s="11">
        <f t="shared" si="12"/>
        <v>7.557227366255144E-3</v>
      </c>
      <c r="I74" s="9">
        <f t="shared" si="12"/>
        <v>3.9583333333333337E-3</v>
      </c>
      <c r="J74" s="10">
        <f t="shared" si="12"/>
        <v>4.0740740740740737E-3</v>
      </c>
      <c r="K74" s="10">
        <f t="shared" si="12"/>
        <v>4.178240740740741E-3</v>
      </c>
      <c r="L74" s="11">
        <f t="shared" si="14"/>
        <v>4.6527777777777782E-3</v>
      </c>
      <c r="M74" s="9">
        <f t="shared" si="15"/>
        <v>4.4257973251028808E-3</v>
      </c>
      <c r="N74" s="11">
        <f t="shared" si="15"/>
        <v>4.2200360082304527E-3</v>
      </c>
      <c r="P74" s="3">
        <f t="shared" si="16"/>
        <v>70</v>
      </c>
    </row>
    <row r="75" spans="1:16" s="2" customFormat="1" ht="15" customHeight="1" x14ac:dyDescent="0.2">
      <c r="A75" s="25">
        <f t="shared" si="13"/>
        <v>1.932870370370366E-2</v>
      </c>
      <c r="B75" s="9">
        <f t="shared" ref="B75:K84" si="17">B$4+$P75*B$3</f>
        <v>1.4374356995884774E-3</v>
      </c>
      <c r="C75" s="10">
        <f t="shared" si="17"/>
        <v>2.1850887345679013E-3</v>
      </c>
      <c r="D75" s="10">
        <f t="shared" si="17"/>
        <v>2.9211676954732507E-3</v>
      </c>
      <c r="E75" s="10">
        <f t="shared" si="17"/>
        <v>3.6803948045267491E-3</v>
      </c>
      <c r="F75" s="10">
        <f t="shared" si="17"/>
        <v>4.4570634002057607E-3</v>
      </c>
      <c r="G75" s="10">
        <f t="shared" si="17"/>
        <v>6.033387988683127E-3</v>
      </c>
      <c r="H75" s="11">
        <f t="shared" si="17"/>
        <v>7.6038451646090535E-3</v>
      </c>
      <c r="I75" s="9">
        <f t="shared" si="17"/>
        <v>3.9814814814814817E-3</v>
      </c>
      <c r="J75" s="10">
        <f t="shared" si="17"/>
        <v>4.0972222222222217E-3</v>
      </c>
      <c r="K75" s="10">
        <f t="shared" si="17"/>
        <v>4.2013888888888891E-3</v>
      </c>
      <c r="L75" s="11">
        <f t="shared" si="14"/>
        <v>4.6759259259259263E-3</v>
      </c>
      <c r="M75" s="9">
        <f t="shared" si="15"/>
        <v>4.4524819958847734E-3</v>
      </c>
      <c r="N75" s="11">
        <f t="shared" si="15"/>
        <v>4.2454346707818929E-3</v>
      </c>
      <c r="P75" s="3">
        <f t="shared" si="16"/>
        <v>71</v>
      </c>
    </row>
    <row r="76" spans="1:16" s="2" customFormat="1" x14ac:dyDescent="0.2">
      <c r="A76" s="25">
        <f t="shared" si="13"/>
        <v>1.94444444444444E-2</v>
      </c>
      <c r="B76" s="9">
        <f t="shared" si="17"/>
        <v>1.4467592592592592E-3</v>
      </c>
      <c r="C76" s="10">
        <f t="shared" si="17"/>
        <v>2.1990740740740746E-3</v>
      </c>
      <c r="D76" s="10">
        <f t="shared" si="17"/>
        <v>2.9398148148148148E-3</v>
      </c>
      <c r="E76" s="10">
        <f t="shared" si="17"/>
        <v>3.7037037037037038E-3</v>
      </c>
      <c r="F76" s="10">
        <f t="shared" si="17"/>
        <v>4.4849537037037028E-3</v>
      </c>
      <c r="G76" s="10">
        <f t="shared" si="17"/>
        <v>6.0706018518518513E-3</v>
      </c>
      <c r="H76" s="11">
        <f t="shared" si="17"/>
        <v>7.6504629629629631E-3</v>
      </c>
      <c r="I76" s="9">
        <f t="shared" si="17"/>
        <v>4.0046296296296297E-3</v>
      </c>
      <c r="J76" s="10">
        <f t="shared" si="17"/>
        <v>4.1203703703703697E-3</v>
      </c>
      <c r="K76" s="10">
        <f t="shared" si="17"/>
        <v>4.2245370370370371E-3</v>
      </c>
      <c r="L76" s="11">
        <f t="shared" si="14"/>
        <v>4.6990740740740743E-3</v>
      </c>
      <c r="M76" s="9">
        <f t="shared" si="15"/>
        <v>4.4791666666666669E-3</v>
      </c>
      <c r="N76" s="11">
        <f t="shared" si="15"/>
        <v>4.2708333333333331E-3</v>
      </c>
      <c r="P76" s="3">
        <f t="shared" si="16"/>
        <v>72</v>
      </c>
    </row>
    <row r="77" spans="1:16" s="2" customFormat="1" ht="15" customHeight="1" x14ac:dyDescent="0.2">
      <c r="A77" s="25">
        <f t="shared" si="13"/>
        <v>1.9560185185185139E-2</v>
      </c>
      <c r="B77" s="9">
        <f t="shared" si="17"/>
        <v>1.456082818930041E-3</v>
      </c>
      <c r="C77" s="10">
        <f t="shared" si="17"/>
        <v>2.2130594135802472E-3</v>
      </c>
      <c r="D77" s="10">
        <f t="shared" si="17"/>
        <v>2.9584619341563789E-3</v>
      </c>
      <c r="E77" s="10">
        <f t="shared" si="17"/>
        <v>3.7270126028806586E-3</v>
      </c>
      <c r="F77" s="10">
        <f t="shared" si="17"/>
        <v>4.5128440072016458E-3</v>
      </c>
      <c r="G77" s="10">
        <f t="shared" si="17"/>
        <v>6.1078157150205748E-3</v>
      </c>
      <c r="H77" s="11">
        <f t="shared" si="17"/>
        <v>7.6970807613168726E-3</v>
      </c>
      <c r="I77" s="9">
        <f t="shared" si="17"/>
        <v>4.0277777777777777E-3</v>
      </c>
      <c r="J77" s="10">
        <f t="shared" si="17"/>
        <v>4.1435185185185186E-3</v>
      </c>
      <c r="K77" s="10">
        <f t="shared" si="17"/>
        <v>4.2476851851851851E-3</v>
      </c>
      <c r="L77" s="11">
        <f t="shared" si="14"/>
        <v>4.7222222222222223E-3</v>
      </c>
      <c r="M77" s="9">
        <f t="shared" si="15"/>
        <v>4.5058513374485595E-3</v>
      </c>
      <c r="N77" s="11">
        <f t="shared" si="15"/>
        <v>4.2962319958847733E-3</v>
      </c>
      <c r="P77" s="3">
        <f t="shared" si="16"/>
        <v>73</v>
      </c>
    </row>
    <row r="78" spans="1:16" s="2" customFormat="1" ht="15" customHeight="1" x14ac:dyDescent="0.2">
      <c r="A78" s="25">
        <f t="shared" si="13"/>
        <v>1.9675925925925878E-2</v>
      </c>
      <c r="B78" s="9">
        <f t="shared" si="17"/>
        <v>1.4654063786008228E-3</v>
      </c>
      <c r="C78" s="10">
        <f t="shared" si="17"/>
        <v>2.2270447530864201E-3</v>
      </c>
      <c r="D78" s="10">
        <f t="shared" si="17"/>
        <v>2.9771090534979425E-3</v>
      </c>
      <c r="E78" s="10">
        <f t="shared" si="17"/>
        <v>3.7503215020576134E-3</v>
      </c>
      <c r="F78" s="10">
        <f t="shared" si="17"/>
        <v>4.5407343106995878E-3</v>
      </c>
      <c r="G78" s="10">
        <f t="shared" si="17"/>
        <v>6.1450295781893E-3</v>
      </c>
      <c r="H78" s="11">
        <f t="shared" si="17"/>
        <v>7.7436985596707822E-3</v>
      </c>
      <c r="I78" s="9">
        <f t="shared" si="17"/>
        <v>4.0509259259259257E-3</v>
      </c>
      <c r="J78" s="10">
        <f t="shared" si="17"/>
        <v>4.1666666666666666E-3</v>
      </c>
      <c r="K78" s="10">
        <f t="shared" si="17"/>
        <v>4.2708333333333331E-3</v>
      </c>
      <c r="L78" s="11">
        <f t="shared" si="14"/>
        <v>4.7453703703703703E-3</v>
      </c>
      <c r="M78" s="9">
        <f t="shared" si="15"/>
        <v>4.532536008230453E-3</v>
      </c>
      <c r="N78" s="11">
        <f t="shared" si="15"/>
        <v>4.3216306584362135E-3</v>
      </c>
      <c r="P78" s="3">
        <f t="shared" si="16"/>
        <v>74</v>
      </c>
    </row>
    <row r="79" spans="1:16" s="2" customFormat="1" ht="15" customHeight="1" x14ac:dyDescent="0.2">
      <c r="A79" s="25">
        <f t="shared" si="13"/>
        <v>1.9791666666666617E-2</v>
      </c>
      <c r="B79" s="9">
        <f t="shared" si="17"/>
        <v>1.4747299382716049E-3</v>
      </c>
      <c r="C79" s="10">
        <f t="shared" si="17"/>
        <v>2.2410300925925931E-3</v>
      </c>
      <c r="D79" s="10">
        <f t="shared" si="17"/>
        <v>2.9957561728395062E-3</v>
      </c>
      <c r="E79" s="10">
        <f t="shared" si="17"/>
        <v>3.7736304012345682E-3</v>
      </c>
      <c r="F79" s="10">
        <f t="shared" si="17"/>
        <v>4.5686246141975299E-3</v>
      </c>
      <c r="G79" s="10">
        <f t="shared" si="17"/>
        <v>6.1822434413580235E-3</v>
      </c>
      <c r="H79" s="11">
        <f t="shared" si="17"/>
        <v>7.7903163580246917E-3</v>
      </c>
      <c r="I79" s="9">
        <f t="shared" si="17"/>
        <v>4.0740740740740737E-3</v>
      </c>
      <c r="J79" s="10">
        <f t="shared" si="17"/>
        <v>4.1898148148148146E-3</v>
      </c>
      <c r="K79" s="10">
        <f t="shared" si="17"/>
        <v>4.293981481481482E-3</v>
      </c>
      <c r="L79" s="11">
        <f t="shared" si="14"/>
        <v>4.7685185185185192E-3</v>
      </c>
      <c r="M79" s="9">
        <f t="shared" si="15"/>
        <v>4.5592206790123456E-3</v>
      </c>
      <c r="N79" s="11">
        <f t="shared" si="15"/>
        <v>4.3470293209876536E-3</v>
      </c>
      <c r="P79" s="3">
        <f t="shared" si="16"/>
        <v>75</v>
      </c>
    </row>
    <row r="80" spans="1:16" s="2" customFormat="1" x14ac:dyDescent="0.2">
      <c r="A80" s="25">
        <f t="shared" si="13"/>
        <v>1.9907407407407356E-2</v>
      </c>
      <c r="B80" s="9">
        <f t="shared" si="17"/>
        <v>1.4840534979423867E-3</v>
      </c>
      <c r="C80" s="10">
        <f t="shared" si="17"/>
        <v>2.2550154320987656E-3</v>
      </c>
      <c r="D80" s="10">
        <f t="shared" si="17"/>
        <v>3.0144032921810698E-3</v>
      </c>
      <c r="E80" s="10">
        <f t="shared" si="17"/>
        <v>3.796939300411523E-3</v>
      </c>
      <c r="F80" s="10">
        <f t="shared" si="17"/>
        <v>4.5965149176954729E-3</v>
      </c>
      <c r="G80" s="10">
        <f t="shared" si="17"/>
        <v>6.2194573045267487E-3</v>
      </c>
      <c r="H80" s="11">
        <f t="shared" si="17"/>
        <v>7.8369341563786013E-3</v>
      </c>
      <c r="I80" s="9">
        <f t="shared" si="17"/>
        <v>4.0972222222222226E-3</v>
      </c>
      <c r="J80" s="10">
        <f t="shared" si="17"/>
        <v>4.2129629629629626E-3</v>
      </c>
      <c r="K80" s="10">
        <f t="shared" si="17"/>
        <v>4.31712962962963E-3</v>
      </c>
      <c r="L80" s="11">
        <f t="shared" si="14"/>
        <v>4.7916666666666672E-3</v>
      </c>
      <c r="M80" s="9">
        <f t="shared" si="15"/>
        <v>4.5859053497942382E-3</v>
      </c>
      <c r="N80" s="11">
        <f t="shared" si="15"/>
        <v>4.3724279835390938E-3</v>
      </c>
      <c r="P80" s="3">
        <f t="shared" si="16"/>
        <v>76</v>
      </c>
    </row>
    <row r="81" spans="1:16" s="2" customFormat="1" ht="15" customHeight="1" x14ac:dyDescent="0.2">
      <c r="A81" s="25">
        <f t="shared" si="13"/>
        <v>2.0023148148148096E-2</v>
      </c>
      <c r="B81" s="9">
        <f t="shared" si="17"/>
        <v>1.4933770576131687E-3</v>
      </c>
      <c r="C81" s="10">
        <f t="shared" si="17"/>
        <v>2.269000771604939E-3</v>
      </c>
      <c r="D81" s="10">
        <f t="shared" si="17"/>
        <v>3.0330504115226335E-3</v>
      </c>
      <c r="E81" s="10">
        <f t="shared" si="17"/>
        <v>3.8202481995884777E-3</v>
      </c>
      <c r="F81" s="10">
        <f t="shared" si="17"/>
        <v>4.624405221193415E-3</v>
      </c>
      <c r="G81" s="10">
        <f t="shared" si="17"/>
        <v>6.2566711676954722E-3</v>
      </c>
      <c r="H81" s="11">
        <f t="shared" si="17"/>
        <v>7.8835519547325109E-3</v>
      </c>
      <c r="I81" s="9">
        <f t="shared" si="17"/>
        <v>4.1203703703703706E-3</v>
      </c>
      <c r="J81" s="10">
        <f t="shared" si="17"/>
        <v>4.2361111111111106E-3</v>
      </c>
      <c r="K81" s="10">
        <f t="shared" si="17"/>
        <v>4.340277777777778E-3</v>
      </c>
      <c r="L81" s="11">
        <f t="shared" si="14"/>
        <v>4.8148148148148152E-3</v>
      </c>
      <c r="M81" s="9">
        <f t="shared" si="15"/>
        <v>4.6125900205761317E-3</v>
      </c>
      <c r="N81" s="11">
        <f t="shared" si="15"/>
        <v>4.397826646090534E-3</v>
      </c>
      <c r="P81" s="3">
        <f t="shared" si="16"/>
        <v>77</v>
      </c>
    </row>
    <row r="82" spans="1:16" s="2" customFormat="1" ht="15" customHeight="1" x14ac:dyDescent="0.2">
      <c r="A82" s="25">
        <f t="shared" si="13"/>
        <v>2.0138888888888835E-2</v>
      </c>
      <c r="B82" s="9">
        <f t="shared" si="17"/>
        <v>1.5027006172839506E-3</v>
      </c>
      <c r="C82" s="10">
        <f t="shared" si="17"/>
        <v>2.2829861111111115E-3</v>
      </c>
      <c r="D82" s="10">
        <f t="shared" si="17"/>
        <v>3.0516975308641976E-3</v>
      </c>
      <c r="E82" s="10">
        <f t="shared" si="17"/>
        <v>3.8435570987654325E-3</v>
      </c>
      <c r="F82" s="10">
        <f t="shared" si="17"/>
        <v>4.6522955246913571E-3</v>
      </c>
      <c r="G82" s="10">
        <f t="shared" si="17"/>
        <v>6.2938850308641974E-3</v>
      </c>
      <c r="H82" s="11">
        <f t="shared" si="17"/>
        <v>7.9301697530864204E-3</v>
      </c>
      <c r="I82" s="9">
        <f t="shared" si="17"/>
        <v>4.1435185185185186E-3</v>
      </c>
      <c r="J82" s="10">
        <f t="shared" si="17"/>
        <v>4.2592592592592595E-3</v>
      </c>
      <c r="K82" s="10">
        <f t="shared" si="17"/>
        <v>4.363425925925926E-3</v>
      </c>
      <c r="L82" s="11">
        <f t="shared" si="14"/>
        <v>4.8379629629629632E-3</v>
      </c>
      <c r="M82" s="9">
        <f t="shared" si="15"/>
        <v>4.6392746913580252E-3</v>
      </c>
      <c r="N82" s="11">
        <f t="shared" si="15"/>
        <v>4.4232253086419742E-3</v>
      </c>
      <c r="P82" s="3">
        <f t="shared" si="16"/>
        <v>78</v>
      </c>
    </row>
    <row r="83" spans="1:16" s="2" customFormat="1" ht="15" customHeight="1" x14ac:dyDescent="0.2">
      <c r="A83" s="25">
        <f t="shared" si="13"/>
        <v>2.0254629629629574E-2</v>
      </c>
      <c r="B83" s="9">
        <f t="shared" si="17"/>
        <v>1.5120241769547324E-3</v>
      </c>
      <c r="C83" s="10">
        <f t="shared" si="17"/>
        <v>2.296971450617284E-3</v>
      </c>
      <c r="D83" s="10">
        <f t="shared" si="17"/>
        <v>3.0703446502057617E-3</v>
      </c>
      <c r="E83" s="10">
        <f t="shared" si="17"/>
        <v>3.8668659979423873E-3</v>
      </c>
      <c r="F83" s="10">
        <f t="shared" si="17"/>
        <v>4.6801858281893E-3</v>
      </c>
      <c r="G83" s="10">
        <f t="shared" si="17"/>
        <v>6.3310988940329209E-3</v>
      </c>
      <c r="H83" s="11">
        <f t="shared" si="17"/>
        <v>7.97678755144033E-3</v>
      </c>
      <c r="I83" s="9">
        <f t="shared" si="17"/>
        <v>4.1666666666666666E-3</v>
      </c>
      <c r="J83" s="10">
        <f t="shared" si="17"/>
        <v>4.2824074074074075E-3</v>
      </c>
      <c r="K83" s="10">
        <f t="shared" si="17"/>
        <v>4.386574074074074E-3</v>
      </c>
      <c r="L83" s="11">
        <f t="shared" si="14"/>
        <v>4.8611111111111112E-3</v>
      </c>
      <c r="M83" s="9">
        <f t="shared" si="15"/>
        <v>4.6659593621399178E-3</v>
      </c>
      <c r="N83" s="11">
        <f t="shared" si="15"/>
        <v>4.4486239711934153E-3</v>
      </c>
      <c r="P83" s="3">
        <f t="shared" si="16"/>
        <v>79</v>
      </c>
    </row>
    <row r="84" spans="1:16" s="2" customFormat="1" ht="15" customHeight="1" x14ac:dyDescent="0.2">
      <c r="A84" s="25">
        <f t="shared" si="13"/>
        <v>2.0370370370370313E-2</v>
      </c>
      <c r="B84" s="9">
        <f t="shared" si="17"/>
        <v>1.5213477366255142E-3</v>
      </c>
      <c r="C84" s="10">
        <f t="shared" si="17"/>
        <v>2.3109567901234574E-3</v>
      </c>
      <c r="D84" s="10">
        <f t="shared" si="17"/>
        <v>3.0889917695473253E-3</v>
      </c>
      <c r="E84" s="10">
        <f t="shared" si="17"/>
        <v>3.8901748971193421E-3</v>
      </c>
      <c r="F84" s="10">
        <f t="shared" si="17"/>
        <v>4.7080761316872421E-3</v>
      </c>
      <c r="G84" s="10">
        <f t="shared" si="17"/>
        <v>6.3683127572016452E-3</v>
      </c>
      <c r="H84" s="11">
        <f t="shared" si="17"/>
        <v>8.0234053497942395E-3</v>
      </c>
      <c r="I84" s="9">
        <f t="shared" si="17"/>
        <v>4.1898148148148146E-3</v>
      </c>
      <c r="J84" s="10">
        <f t="shared" si="17"/>
        <v>4.3055555555555555E-3</v>
      </c>
      <c r="K84" s="10">
        <f t="shared" si="17"/>
        <v>4.409722222222222E-3</v>
      </c>
      <c r="L84" s="11">
        <f t="shared" si="14"/>
        <v>4.8842592592592592E-3</v>
      </c>
      <c r="M84" s="9">
        <f t="shared" si="15"/>
        <v>4.6926440329218104E-3</v>
      </c>
      <c r="N84" s="11">
        <f t="shared" si="15"/>
        <v>4.4740226337448554E-3</v>
      </c>
      <c r="P84" s="3">
        <f t="shared" si="16"/>
        <v>80</v>
      </c>
    </row>
    <row r="85" spans="1:16" s="2" customFormat="1" ht="15" customHeight="1" x14ac:dyDescent="0.2">
      <c r="A85" s="25">
        <f t="shared" si="13"/>
        <v>2.0486111111111052E-2</v>
      </c>
      <c r="B85" s="9">
        <f t="shared" ref="B85:K94" si="18">B$4+$P85*B$3</f>
        <v>1.530671296296296E-3</v>
      </c>
      <c r="C85" s="10">
        <f t="shared" si="18"/>
        <v>2.3249421296296299E-3</v>
      </c>
      <c r="D85" s="10">
        <f t="shared" si="18"/>
        <v>3.107638888888889E-3</v>
      </c>
      <c r="E85" s="10">
        <f t="shared" si="18"/>
        <v>3.9134837962962968E-3</v>
      </c>
      <c r="F85" s="10">
        <f t="shared" si="18"/>
        <v>4.7359664351851842E-3</v>
      </c>
      <c r="G85" s="10">
        <f t="shared" si="18"/>
        <v>6.4055266203703696E-3</v>
      </c>
      <c r="H85" s="11">
        <f t="shared" si="18"/>
        <v>8.0700231481481491E-3</v>
      </c>
      <c r="I85" s="9">
        <f t="shared" si="18"/>
        <v>4.2129629629629635E-3</v>
      </c>
      <c r="J85" s="10">
        <f t="shared" si="18"/>
        <v>4.3287037037037035E-3</v>
      </c>
      <c r="K85" s="10">
        <f t="shared" si="18"/>
        <v>4.43287037037037E-3</v>
      </c>
      <c r="L85" s="11">
        <f t="shared" si="14"/>
        <v>4.9074074074074072E-3</v>
      </c>
      <c r="M85" s="9">
        <f t="shared" si="15"/>
        <v>4.7193287037037039E-3</v>
      </c>
      <c r="N85" s="11">
        <f t="shared" si="15"/>
        <v>4.4994212962962956E-3</v>
      </c>
      <c r="P85" s="3">
        <f t="shared" si="16"/>
        <v>81</v>
      </c>
    </row>
    <row r="86" spans="1:16" s="2" customFormat="1" ht="15" customHeight="1" x14ac:dyDescent="0.2">
      <c r="A86" s="25">
        <f t="shared" si="13"/>
        <v>2.0601851851851791E-2</v>
      </c>
      <c r="B86" s="9">
        <f t="shared" si="18"/>
        <v>1.5399948559670781E-3</v>
      </c>
      <c r="C86" s="10">
        <f t="shared" si="18"/>
        <v>2.3389274691358029E-3</v>
      </c>
      <c r="D86" s="10">
        <f t="shared" si="18"/>
        <v>3.1262860082304526E-3</v>
      </c>
      <c r="E86" s="10">
        <f t="shared" si="18"/>
        <v>3.9367926954732516E-3</v>
      </c>
      <c r="F86" s="10">
        <f t="shared" si="18"/>
        <v>4.7638567386831272E-3</v>
      </c>
      <c r="G86" s="10">
        <f t="shared" si="18"/>
        <v>6.4427404835390939E-3</v>
      </c>
      <c r="H86" s="11">
        <f t="shared" si="18"/>
        <v>8.1166409465020569E-3</v>
      </c>
      <c r="I86" s="9">
        <f t="shared" si="18"/>
        <v>4.2361111111111115E-3</v>
      </c>
      <c r="J86" s="10">
        <f t="shared" si="18"/>
        <v>4.3518518518518515E-3</v>
      </c>
      <c r="K86" s="10">
        <f t="shared" si="18"/>
        <v>4.4560185185185189E-3</v>
      </c>
      <c r="L86" s="11">
        <f t="shared" si="14"/>
        <v>4.9305555555555561E-3</v>
      </c>
      <c r="M86" s="9">
        <f t="shared" si="15"/>
        <v>4.7460133744855974E-3</v>
      </c>
      <c r="N86" s="11">
        <f t="shared" si="15"/>
        <v>4.5248199588477367E-3</v>
      </c>
      <c r="P86" s="3">
        <f t="shared" si="16"/>
        <v>82</v>
      </c>
    </row>
    <row r="87" spans="1:16" s="2" customFormat="1" ht="15" customHeight="1" x14ac:dyDescent="0.2">
      <c r="A87" s="25">
        <f t="shared" si="13"/>
        <v>2.0717592592592531E-2</v>
      </c>
      <c r="B87" s="9">
        <f t="shared" si="18"/>
        <v>1.5493184156378601E-3</v>
      </c>
      <c r="C87" s="10">
        <f t="shared" si="18"/>
        <v>2.3529128086419758E-3</v>
      </c>
      <c r="D87" s="10">
        <f t="shared" si="18"/>
        <v>3.1449331275720162E-3</v>
      </c>
      <c r="E87" s="10">
        <f t="shared" si="18"/>
        <v>3.9601015946502064E-3</v>
      </c>
      <c r="F87" s="10">
        <f t="shared" si="18"/>
        <v>4.7917470421810692E-3</v>
      </c>
      <c r="G87" s="10">
        <f t="shared" si="18"/>
        <v>6.4799543467078183E-3</v>
      </c>
      <c r="H87" s="11">
        <f t="shared" si="18"/>
        <v>8.1632587448559665E-3</v>
      </c>
      <c r="I87" s="9">
        <f t="shared" si="18"/>
        <v>4.2592592592592595E-3</v>
      </c>
      <c r="J87" s="10">
        <f t="shared" si="18"/>
        <v>4.3749999999999995E-3</v>
      </c>
      <c r="K87" s="10">
        <f t="shared" si="18"/>
        <v>4.4791666666666669E-3</v>
      </c>
      <c r="L87" s="11">
        <f t="shared" si="14"/>
        <v>4.9537037037037041E-3</v>
      </c>
      <c r="M87" s="9">
        <f t="shared" si="15"/>
        <v>4.77269804526749E-3</v>
      </c>
      <c r="N87" s="11">
        <f t="shared" si="15"/>
        <v>4.5502186213991769E-3</v>
      </c>
      <c r="P87" s="3">
        <f t="shared" si="16"/>
        <v>83</v>
      </c>
    </row>
    <row r="88" spans="1:16" s="2" customFormat="1" ht="15" customHeight="1" x14ac:dyDescent="0.2">
      <c r="A88" s="25">
        <f t="shared" si="13"/>
        <v>2.083333333333327E-2</v>
      </c>
      <c r="B88" s="9">
        <f t="shared" si="18"/>
        <v>1.5586419753086419E-3</v>
      </c>
      <c r="C88" s="10">
        <f t="shared" si="18"/>
        <v>2.3668981481481484E-3</v>
      </c>
      <c r="D88" s="10">
        <f t="shared" si="18"/>
        <v>3.1635802469135803E-3</v>
      </c>
      <c r="E88" s="10">
        <f t="shared" si="18"/>
        <v>3.9834104938271612E-3</v>
      </c>
      <c r="F88" s="10">
        <f t="shared" si="18"/>
        <v>4.8196373456790113E-3</v>
      </c>
      <c r="G88" s="10">
        <f t="shared" si="18"/>
        <v>6.5171682098765426E-3</v>
      </c>
      <c r="H88" s="11">
        <f t="shared" si="18"/>
        <v>8.209876543209876E-3</v>
      </c>
      <c r="I88" s="9">
        <f t="shared" si="18"/>
        <v>4.2824074074074075E-3</v>
      </c>
      <c r="J88" s="10">
        <f t="shared" si="18"/>
        <v>4.3981481481481476E-3</v>
      </c>
      <c r="K88" s="10">
        <f t="shared" si="18"/>
        <v>4.5023148148148149E-3</v>
      </c>
      <c r="L88" s="11">
        <f t="shared" si="14"/>
        <v>4.9768518518518521E-3</v>
      </c>
      <c r="M88" s="9">
        <f t="shared" si="15"/>
        <v>4.7993827160493826E-3</v>
      </c>
      <c r="N88" s="11">
        <f t="shared" si="15"/>
        <v>4.5756172839506171E-3</v>
      </c>
      <c r="P88" s="3">
        <f t="shared" si="16"/>
        <v>84</v>
      </c>
    </row>
    <row r="89" spans="1:16" s="2" customFormat="1" ht="15" customHeight="1" x14ac:dyDescent="0.2">
      <c r="A89" s="25">
        <f t="shared" si="13"/>
        <v>2.0949074074074009E-2</v>
      </c>
      <c r="B89" s="9">
        <f t="shared" si="18"/>
        <v>1.5679655349794238E-3</v>
      </c>
      <c r="C89" s="10">
        <f t="shared" si="18"/>
        <v>2.3808834876543217E-3</v>
      </c>
      <c r="D89" s="10">
        <f t="shared" si="18"/>
        <v>3.182227366255144E-3</v>
      </c>
      <c r="E89" s="10">
        <f t="shared" si="18"/>
        <v>4.006719393004116E-3</v>
      </c>
      <c r="F89" s="10">
        <f t="shared" si="18"/>
        <v>4.8475276491769543E-3</v>
      </c>
      <c r="G89" s="10">
        <f t="shared" si="18"/>
        <v>6.554382073045267E-3</v>
      </c>
      <c r="H89" s="11">
        <f t="shared" si="18"/>
        <v>8.2564943415637856E-3</v>
      </c>
      <c r="I89" s="9">
        <f t="shared" si="18"/>
        <v>4.3055555555555555E-3</v>
      </c>
      <c r="J89" s="10">
        <f t="shared" si="18"/>
        <v>4.4212962962962964E-3</v>
      </c>
      <c r="K89" s="10">
        <f t="shared" si="18"/>
        <v>4.5254629629629629E-3</v>
      </c>
      <c r="L89" s="11">
        <f t="shared" si="14"/>
        <v>5.0000000000000001E-3</v>
      </c>
      <c r="M89" s="9">
        <f t="shared" si="15"/>
        <v>4.8260673868312752E-3</v>
      </c>
      <c r="N89" s="11">
        <f t="shared" si="15"/>
        <v>4.6010159465020573E-3</v>
      </c>
      <c r="P89" s="3">
        <f t="shared" si="16"/>
        <v>85</v>
      </c>
    </row>
    <row r="90" spans="1:16" s="2" customFormat="1" ht="15" customHeight="1" x14ac:dyDescent="0.2">
      <c r="A90" s="25">
        <f t="shared" si="13"/>
        <v>2.1064814814814748E-2</v>
      </c>
      <c r="B90" s="9">
        <f t="shared" si="18"/>
        <v>1.5772890946502056E-3</v>
      </c>
      <c r="C90" s="10">
        <f t="shared" si="18"/>
        <v>2.3948688271604943E-3</v>
      </c>
      <c r="D90" s="10">
        <f t="shared" si="18"/>
        <v>3.2008744855967081E-3</v>
      </c>
      <c r="E90" s="10">
        <f t="shared" si="18"/>
        <v>4.0300282921810707E-3</v>
      </c>
      <c r="F90" s="10">
        <f t="shared" si="18"/>
        <v>4.8754179526748964E-3</v>
      </c>
      <c r="G90" s="10">
        <f t="shared" si="18"/>
        <v>6.5915959362139905E-3</v>
      </c>
      <c r="H90" s="11">
        <f t="shared" si="18"/>
        <v>8.3031121399176951E-3</v>
      </c>
      <c r="I90" s="9">
        <f t="shared" si="18"/>
        <v>4.3287037037037044E-3</v>
      </c>
      <c r="J90" s="10">
        <f t="shared" si="18"/>
        <v>4.4444444444444444E-3</v>
      </c>
      <c r="K90" s="10">
        <f t="shared" si="18"/>
        <v>4.5486111111111109E-3</v>
      </c>
      <c r="L90" s="11">
        <f t="shared" si="14"/>
        <v>5.0231481481481481E-3</v>
      </c>
      <c r="M90" s="9">
        <f t="shared" si="15"/>
        <v>4.8527520576131687E-3</v>
      </c>
      <c r="N90" s="11">
        <f t="shared" si="15"/>
        <v>4.6264146090534974E-3</v>
      </c>
      <c r="P90" s="3">
        <f t="shared" si="16"/>
        <v>86</v>
      </c>
    </row>
    <row r="91" spans="1:16" s="2" customFormat="1" ht="15" customHeight="1" x14ac:dyDescent="0.2">
      <c r="A91" s="25">
        <f t="shared" si="13"/>
        <v>2.1180555555555487E-2</v>
      </c>
      <c r="B91" s="9">
        <f t="shared" si="18"/>
        <v>1.5866126543209874E-3</v>
      </c>
      <c r="C91" s="10">
        <f t="shared" si="18"/>
        <v>2.4088541666666668E-3</v>
      </c>
      <c r="D91" s="10">
        <f t="shared" si="18"/>
        <v>3.2195216049382717E-3</v>
      </c>
      <c r="E91" s="10">
        <f t="shared" si="18"/>
        <v>4.0533371913580255E-3</v>
      </c>
      <c r="F91" s="10">
        <f t="shared" si="18"/>
        <v>4.9033082561728385E-3</v>
      </c>
      <c r="G91" s="10">
        <f t="shared" si="18"/>
        <v>6.6288097993827157E-3</v>
      </c>
      <c r="H91" s="11">
        <f t="shared" si="18"/>
        <v>8.3497299382716047E-3</v>
      </c>
      <c r="I91" s="9">
        <f t="shared" si="18"/>
        <v>4.3518518518518515E-3</v>
      </c>
      <c r="J91" s="10">
        <f t="shared" si="18"/>
        <v>4.4675925925925924E-3</v>
      </c>
      <c r="K91" s="10">
        <f t="shared" si="18"/>
        <v>4.5717592592592598E-3</v>
      </c>
      <c r="L91" s="11">
        <f t="shared" si="14"/>
        <v>5.046296296296297E-3</v>
      </c>
      <c r="M91" s="9">
        <f t="shared" si="15"/>
        <v>4.8794367283950622E-3</v>
      </c>
      <c r="N91" s="11">
        <f t="shared" si="15"/>
        <v>4.6518132716049376E-3</v>
      </c>
      <c r="P91" s="3">
        <f t="shared" si="16"/>
        <v>87</v>
      </c>
    </row>
    <row r="92" spans="1:16" s="2" customFormat="1" ht="15" customHeight="1" x14ac:dyDescent="0.2">
      <c r="A92" s="25">
        <f t="shared" si="13"/>
        <v>2.1296296296296226E-2</v>
      </c>
      <c r="B92" s="9">
        <f t="shared" si="18"/>
        <v>1.5959362139917695E-3</v>
      </c>
      <c r="C92" s="10">
        <f t="shared" si="18"/>
        <v>2.4228395061728402E-3</v>
      </c>
      <c r="D92" s="10">
        <f t="shared" si="18"/>
        <v>3.2381687242798354E-3</v>
      </c>
      <c r="E92" s="10">
        <f t="shared" si="18"/>
        <v>4.0766460905349803E-3</v>
      </c>
      <c r="F92" s="10">
        <f t="shared" si="18"/>
        <v>4.9311985596707814E-3</v>
      </c>
      <c r="G92" s="10">
        <f t="shared" si="18"/>
        <v>6.6660236625514391E-3</v>
      </c>
      <c r="H92" s="11">
        <f t="shared" si="18"/>
        <v>8.3963477366255142E-3</v>
      </c>
      <c r="I92" s="9">
        <f t="shared" si="18"/>
        <v>4.3750000000000004E-3</v>
      </c>
      <c r="J92" s="10">
        <f t="shared" si="18"/>
        <v>4.4907407407407405E-3</v>
      </c>
      <c r="K92" s="10">
        <f t="shared" si="18"/>
        <v>4.5949074074074069E-3</v>
      </c>
      <c r="L92" s="11">
        <f t="shared" si="14"/>
        <v>5.0694444444444441E-3</v>
      </c>
      <c r="M92" s="9">
        <f t="shared" si="15"/>
        <v>4.9061213991769548E-3</v>
      </c>
      <c r="N92" s="11">
        <f t="shared" si="15"/>
        <v>4.6772119341563778E-3</v>
      </c>
      <c r="P92" s="3">
        <f t="shared" si="16"/>
        <v>88</v>
      </c>
    </row>
    <row r="93" spans="1:16" s="2" customFormat="1" ht="15" customHeight="1" x14ac:dyDescent="0.2">
      <c r="A93" s="25">
        <f t="shared" si="13"/>
        <v>2.1412037037036966E-2</v>
      </c>
      <c r="B93" s="9">
        <f t="shared" si="18"/>
        <v>1.6052597736625513E-3</v>
      </c>
      <c r="C93" s="10">
        <f t="shared" si="18"/>
        <v>2.4368248456790127E-3</v>
      </c>
      <c r="D93" s="10">
        <f t="shared" si="18"/>
        <v>3.256815843621399E-3</v>
      </c>
      <c r="E93" s="10">
        <f t="shared" si="18"/>
        <v>4.0999549897119351E-3</v>
      </c>
      <c r="F93" s="10">
        <f t="shared" si="18"/>
        <v>4.9590888631687235E-3</v>
      </c>
      <c r="G93" s="10">
        <f t="shared" si="18"/>
        <v>6.7032375257201644E-3</v>
      </c>
      <c r="H93" s="11">
        <f t="shared" si="18"/>
        <v>8.4429655349794238E-3</v>
      </c>
      <c r="I93" s="9">
        <f t="shared" si="18"/>
        <v>4.3981481481481484E-3</v>
      </c>
      <c r="J93" s="10">
        <f t="shared" si="18"/>
        <v>4.5138888888888885E-3</v>
      </c>
      <c r="K93" s="10">
        <f t="shared" si="18"/>
        <v>4.6180555555555558E-3</v>
      </c>
      <c r="L93" s="11">
        <f t="shared" si="14"/>
        <v>5.092592592592593E-3</v>
      </c>
      <c r="M93" s="9">
        <f t="shared" si="15"/>
        <v>4.9328060699588474E-3</v>
      </c>
      <c r="N93" s="11">
        <f t="shared" si="15"/>
        <v>4.702610596707818E-3</v>
      </c>
      <c r="P93" s="3">
        <f t="shared" si="16"/>
        <v>89</v>
      </c>
    </row>
    <row r="94" spans="1:16" s="2" customFormat="1" x14ac:dyDescent="0.2">
      <c r="A94" s="25">
        <f t="shared" si="13"/>
        <v>2.1527777777777705E-2</v>
      </c>
      <c r="B94" s="9">
        <f t="shared" si="18"/>
        <v>1.6145833333333333E-3</v>
      </c>
      <c r="C94" s="10">
        <f t="shared" si="18"/>
        <v>2.4508101851851856E-3</v>
      </c>
      <c r="D94" s="10">
        <f t="shared" si="18"/>
        <v>3.2754629629629631E-3</v>
      </c>
      <c r="E94" s="10">
        <f t="shared" si="18"/>
        <v>4.1232638888888899E-3</v>
      </c>
      <c r="F94" s="10">
        <f t="shared" si="18"/>
        <v>4.9869791666666656E-3</v>
      </c>
      <c r="G94" s="10">
        <f t="shared" si="18"/>
        <v>6.7404513888888878E-3</v>
      </c>
      <c r="H94" s="11">
        <f t="shared" si="18"/>
        <v>8.4895833333333334E-3</v>
      </c>
      <c r="I94" s="9">
        <f t="shared" si="18"/>
        <v>4.4212962962962964E-3</v>
      </c>
      <c r="J94" s="10">
        <f t="shared" si="18"/>
        <v>4.5370370370370373E-3</v>
      </c>
      <c r="K94" s="10">
        <f t="shared" si="18"/>
        <v>4.6412037037037038E-3</v>
      </c>
      <c r="L94" s="11">
        <f t="shared" si="14"/>
        <v>5.115740740740741E-3</v>
      </c>
      <c r="M94" s="9">
        <f t="shared" si="15"/>
        <v>4.9594907407407409E-3</v>
      </c>
      <c r="N94" s="11">
        <f t="shared" si="15"/>
        <v>4.7280092592592582E-3</v>
      </c>
      <c r="P94" s="3">
        <f t="shared" si="16"/>
        <v>90</v>
      </c>
    </row>
    <row r="95" spans="1:16" s="2" customFormat="1" x14ac:dyDescent="0.2">
      <c r="A95" s="25">
        <f t="shared" si="13"/>
        <v>2.1643518518518444E-2</v>
      </c>
      <c r="B95" s="9">
        <f t="shared" ref="B95:K104" si="19">B$4+$P95*B$3</f>
        <v>1.6239068930041151E-3</v>
      </c>
      <c r="C95" s="10">
        <f t="shared" si="19"/>
        <v>2.4647955246913586E-3</v>
      </c>
      <c r="D95" s="10">
        <f t="shared" si="19"/>
        <v>3.2941100823045267E-3</v>
      </c>
      <c r="E95" s="10">
        <f t="shared" si="19"/>
        <v>4.1465727880658438E-3</v>
      </c>
      <c r="F95" s="10">
        <f t="shared" si="19"/>
        <v>5.0148694701646086E-3</v>
      </c>
      <c r="G95" s="10">
        <f t="shared" si="19"/>
        <v>6.7776652520576122E-3</v>
      </c>
      <c r="H95" s="11">
        <f t="shared" si="19"/>
        <v>8.5362011316872429E-3</v>
      </c>
      <c r="I95" s="9">
        <f t="shared" si="19"/>
        <v>4.4444444444444444E-3</v>
      </c>
      <c r="J95" s="10">
        <f t="shared" si="19"/>
        <v>4.5601851851851845E-3</v>
      </c>
      <c r="K95" s="10">
        <f t="shared" si="19"/>
        <v>4.6643518518518518E-3</v>
      </c>
      <c r="L95" s="11">
        <f t="shared" si="14"/>
        <v>5.138888888888889E-3</v>
      </c>
      <c r="M95" s="9">
        <f t="shared" si="15"/>
        <v>4.9861754115226344E-3</v>
      </c>
      <c r="N95" s="11">
        <f t="shared" si="15"/>
        <v>4.7534079218106984E-3</v>
      </c>
      <c r="P95" s="3">
        <f t="shared" si="16"/>
        <v>91</v>
      </c>
    </row>
    <row r="96" spans="1:16" s="2" customFormat="1" x14ac:dyDescent="0.2">
      <c r="A96" s="25">
        <f t="shared" si="13"/>
        <v>2.1759259259259183E-2</v>
      </c>
      <c r="B96" s="9">
        <f t="shared" si="19"/>
        <v>1.633230452674897E-3</v>
      </c>
      <c r="C96" s="10">
        <f t="shared" si="19"/>
        <v>2.4787808641975311E-3</v>
      </c>
      <c r="D96" s="10">
        <f t="shared" si="19"/>
        <v>3.3127572016460908E-3</v>
      </c>
      <c r="E96" s="10">
        <f t="shared" si="19"/>
        <v>4.1698816872427985E-3</v>
      </c>
      <c r="F96" s="10">
        <f t="shared" si="19"/>
        <v>5.0427597736625515E-3</v>
      </c>
      <c r="G96" s="10">
        <f t="shared" si="19"/>
        <v>6.8148791152263365E-3</v>
      </c>
      <c r="H96" s="11">
        <f t="shared" si="19"/>
        <v>8.5828189300411525E-3</v>
      </c>
      <c r="I96" s="9">
        <f t="shared" si="19"/>
        <v>4.4675925925925924E-3</v>
      </c>
      <c r="J96" s="10">
        <f t="shared" si="19"/>
        <v>4.5833333333333334E-3</v>
      </c>
      <c r="K96" s="10">
        <f t="shared" si="19"/>
        <v>4.6874999999999998E-3</v>
      </c>
      <c r="L96" s="11">
        <f t="shared" si="14"/>
        <v>5.162037037037037E-3</v>
      </c>
      <c r="M96" s="9">
        <f t="shared" si="15"/>
        <v>5.012860082304527E-3</v>
      </c>
      <c r="N96" s="11">
        <f t="shared" si="15"/>
        <v>4.7788065843621394E-3</v>
      </c>
      <c r="P96" s="3">
        <f t="shared" si="16"/>
        <v>92</v>
      </c>
    </row>
    <row r="97" spans="1:16" s="2" customFormat="1" x14ac:dyDescent="0.2">
      <c r="A97" s="25">
        <f t="shared" si="13"/>
        <v>2.1874999999999922E-2</v>
      </c>
      <c r="B97" s="9">
        <f t="shared" si="19"/>
        <v>1.6425540123456788E-3</v>
      </c>
      <c r="C97" s="10">
        <f t="shared" si="19"/>
        <v>2.4927662037037045E-3</v>
      </c>
      <c r="D97" s="10">
        <f t="shared" si="19"/>
        <v>3.3314043209876545E-3</v>
      </c>
      <c r="E97" s="10">
        <f t="shared" si="19"/>
        <v>4.1931905864197533E-3</v>
      </c>
      <c r="F97" s="10">
        <f t="shared" si="19"/>
        <v>5.0706500771604927E-3</v>
      </c>
      <c r="G97" s="10">
        <f t="shared" si="19"/>
        <v>6.8520929783950609E-3</v>
      </c>
      <c r="H97" s="11">
        <f t="shared" si="19"/>
        <v>8.629436728395062E-3</v>
      </c>
      <c r="I97" s="9">
        <f t="shared" si="19"/>
        <v>4.4907407407407413E-3</v>
      </c>
      <c r="J97" s="10">
        <f t="shared" si="19"/>
        <v>4.6064814814814814E-3</v>
      </c>
      <c r="K97" s="10">
        <f t="shared" si="19"/>
        <v>4.7106481481481478E-3</v>
      </c>
      <c r="L97" s="11">
        <f t="shared" si="14"/>
        <v>5.185185185185185E-3</v>
      </c>
      <c r="M97" s="9">
        <f t="shared" si="15"/>
        <v>5.0395447530864196E-3</v>
      </c>
      <c r="N97" s="11">
        <f t="shared" si="15"/>
        <v>4.8042052469135796E-3</v>
      </c>
      <c r="P97" s="3">
        <f t="shared" si="16"/>
        <v>93</v>
      </c>
    </row>
    <row r="98" spans="1:16" s="2" customFormat="1" x14ac:dyDescent="0.2">
      <c r="A98" s="25">
        <f t="shared" si="13"/>
        <v>2.1990740740740661E-2</v>
      </c>
      <c r="B98" s="9">
        <f t="shared" si="19"/>
        <v>1.6518775720164606E-3</v>
      </c>
      <c r="C98" s="10">
        <f t="shared" si="19"/>
        <v>2.506751543209877E-3</v>
      </c>
      <c r="D98" s="10">
        <f t="shared" si="19"/>
        <v>3.3500514403292181E-3</v>
      </c>
      <c r="E98" s="10">
        <f t="shared" si="19"/>
        <v>4.2164994855967081E-3</v>
      </c>
      <c r="F98" s="10">
        <f t="shared" si="19"/>
        <v>5.0985403806584357E-3</v>
      </c>
      <c r="G98" s="10">
        <f t="shared" si="19"/>
        <v>6.8893068415637852E-3</v>
      </c>
      <c r="H98" s="11">
        <f t="shared" si="19"/>
        <v>8.6760545267489698E-3</v>
      </c>
      <c r="I98" s="9">
        <f t="shared" si="19"/>
        <v>4.5138888888888885E-3</v>
      </c>
      <c r="J98" s="10">
        <f t="shared" si="19"/>
        <v>4.6296296296296294E-3</v>
      </c>
      <c r="K98" s="10">
        <f t="shared" si="19"/>
        <v>4.7337962962962967E-3</v>
      </c>
      <c r="L98" s="11">
        <f t="shared" si="14"/>
        <v>5.2083333333333339E-3</v>
      </c>
      <c r="M98" s="9">
        <f t="shared" si="15"/>
        <v>5.0662294238683122E-3</v>
      </c>
      <c r="N98" s="11">
        <f t="shared" si="15"/>
        <v>4.8296039094650198E-3</v>
      </c>
      <c r="P98" s="3">
        <f t="shared" si="16"/>
        <v>94</v>
      </c>
    </row>
    <row r="99" spans="1:16" s="2" customFormat="1" x14ac:dyDescent="0.2">
      <c r="A99" s="25">
        <f t="shared" si="13"/>
        <v>2.2106481481481401E-2</v>
      </c>
      <c r="B99" s="9">
        <f t="shared" si="19"/>
        <v>1.6612011316872427E-3</v>
      </c>
      <c r="C99" s="10">
        <f t="shared" si="19"/>
        <v>2.5207368827160495E-3</v>
      </c>
      <c r="D99" s="10">
        <f t="shared" si="19"/>
        <v>3.3686985596707818E-3</v>
      </c>
      <c r="E99" s="10">
        <f t="shared" si="19"/>
        <v>4.2398083847736629E-3</v>
      </c>
      <c r="F99" s="10">
        <f t="shared" si="19"/>
        <v>5.1264306841563786E-3</v>
      </c>
      <c r="G99" s="10">
        <f t="shared" si="19"/>
        <v>6.9265207047325096E-3</v>
      </c>
      <c r="H99" s="11">
        <f t="shared" si="19"/>
        <v>8.7226723251028794E-3</v>
      </c>
      <c r="I99" s="9">
        <f t="shared" si="19"/>
        <v>4.5370370370370373E-3</v>
      </c>
      <c r="J99" s="10">
        <f t="shared" si="19"/>
        <v>4.6527777777777774E-3</v>
      </c>
      <c r="K99" s="10">
        <f t="shared" si="19"/>
        <v>4.7569444444444439E-3</v>
      </c>
      <c r="L99" s="11">
        <f t="shared" si="14"/>
        <v>5.2314814814814811E-3</v>
      </c>
      <c r="M99" s="9">
        <f t="shared" si="15"/>
        <v>5.0929140946502057E-3</v>
      </c>
      <c r="N99" s="11">
        <f t="shared" si="15"/>
        <v>4.8550025720164609E-3</v>
      </c>
      <c r="P99" s="3">
        <f t="shared" si="16"/>
        <v>95</v>
      </c>
    </row>
    <row r="100" spans="1:16" s="2" customFormat="1" x14ac:dyDescent="0.2">
      <c r="A100" s="25">
        <f t="shared" si="13"/>
        <v>2.222222222222214E-2</v>
      </c>
      <c r="B100" s="9">
        <f t="shared" si="19"/>
        <v>1.6705246913580245E-3</v>
      </c>
      <c r="C100" s="10">
        <f t="shared" si="19"/>
        <v>2.5347222222222229E-3</v>
      </c>
      <c r="D100" s="10">
        <f t="shared" si="19"/>
        <v>3.3873456790123459E-3</v>
      </c>
      <c r="E100" s="10">
        <f t="shared" si="19"/>
        <v>4.2631172839506177E-3</v>
      </c>
      <c r="F100" s="10">
        <f t="shared" si="19"/>
        <v>5.1543209876543199E-3</v>
      </c>
      <c r="G100" s="10">
        <f t="shared" si="19"/>
        <v>6.9637345679012339E-3</v>
      </c>
      <c r="H100" s="11">
        <f t="shared" si="19"/>
        <v>8.769290123456789E-3</v>
      </c>
      <c r="I100" s="9">
        <f t="shared" si="19"/>
        <v>4.5601851851851853E-3</v>
      </c>
      <c r="J100" s="10">
        <f t="shared" si="19"/>
        <v>4.6759259259259254E-3</v>
      </c>
      <c r="K100" s="10">
        <f t="shared" si="19"/>
        <v>4.7800925925925927E-3</v>
      </c>
      <c r="L100" s="11">
        <f t="shared" si="14"/>
        <v>5.2546296296296299E-3</v>
      </c>
      <c r="M100" s="9">
        <f t="shared" si="15"/>
        <v>5.1195987654320992E-3</v>
      </c>
      <c r="N100" s="11">
        <f t="shared" si="15"/>
        <v>4.8804012345679011E-3</v>
      </c>
      <c r="P100" s="3">
        <f t="shared" si="16"/>
        <v>96</v>
      </c>
    </row>
    <row r="101" spans="1:16" s="2" customFormat="1" x14ac:dyDescent="0.2">
      <c r="A101" s="25">
        <f t="shared" ref="A101:A132" si="20">A100+$A$3</f>
        <v>2.2337962962962879E-2</v>
      </c>
      <c r="B101" s="9">
        <f t="shared" si="19"/>
        <v>1.6798482510288065E-3</v>
      </c>
      <c r="C101" s="10">
        <f t="shared" si="19"/>
        <v>2.5487075617283955E-3</v>
      </c>
      <c r="D101" s="10">
        <f t="shared" si="19"/>
        <v>3.4059927983539095E-3</v>
      </c>
      <c r="E101" s="10">
        <f t="shared" si="19"/>
        <v>4.2864261831275724E-3</v>
      </c>
      <c r="F101" s="10">
        <f t="shared" si="19"/>
        <v>5.1822112911522628E-3</v>
      </c>
      <c r="G101" s="10">
        <f t="shared" si="19"/>
        <v>7.0009484310699574E-3</v>
      </c>
      <c r="H101" s="11">
        <f t="shared" si="19"/>
        <v>8.8159079218106985E-3</v>
      </c>
      <c r="I101" s="9">
        <f t="shared" si="19"/>
        <v>4.5833333333333334E-3</v>
      </c>
      <c r="J101" s="10">
        <f t="shared" si="19"/>
        <v>4.6990740740740743E-3</v>
      </c>
      <c r="K101" s="10">
        <f t="shared" si="19"/>
        <v>4.8032407407407407E-3</v>
      </c>
      <c r="L101" s="11">
        <f t="shared" si="14"/>
        <v>5.2777777777777779E-3</v>
      </c>
      <c r="M101" s="9">
        <f t="shared" si="15"/>
        <v>5.1462834362139918E-3</v>
      </c>
      <c r="N101" s="11">
        <f t="shared" si="15"/>
        <v>4.9057998971193412E-3</v>
      </c>
      <c r="P101" s="3">
        <f t="shared" si="16"/>
        <v>97</v>
      </c>
    </row>
    <row r="102" spans="1:16" s="2" customFormat="1" x14ac:dyDescent="0.2">
      <c r="A102" s="25">
        <f t="shared" si="20"/>
        <v>2.2453703703703618E-2</v>
      </c>
      <c r="B102" s="9">
        <f t="shared" si="19"/>
        <v>1.6891718106995884E-3</v>
      </c>
      <c r="C102" s="10">
        <f t="shared" si="19"/>
        <v>2.5626929012345684E-3</v>
      </c>
      <c r="D102" s="10">
        <f t="shared" si="19"/>
        <v>3.4246399176954736E-3</v>
      </c>
      <c r="E102" s="10">
        <f t="shared" si="19"/>
        <v>4.3097350823045272E-3</v>
      </c>
      <c r="F102" s="10">
        <f t="shared" si="19"/>
        <v>5.2101015946502058E-3</v>
      </c>
      <c r="G102" s="10">
        <f t="shared" si="19"/>
        <v>7.0381622942386826E-3</v>
      </c>
      <c r="H102" s="11">
        <f t="shared" si="19"/>
        <v>8.8625257201646081E-3</v>
      </c>
      <c r="I102" s="9">
        <f t="shared" si="19"/>
        <v>4.6064814814814814E-3</v>
      </c>
      <c r="J102" s="10">
        <f t="shared" si="19"/>
        <v>4.7222222222222214E-3</v>
      </c>
      <c r="K102" s="10">
        <f t="shared" si="19"/>
        <v>4.8263888888888887E-3</v>
      </c>
      <c r="L102" s="11">
        <f t="shared" si="14"/>
        <v>5.3009259259259259E-3</v>
      </c>
      <c r="M102" s="9">
        <f t="shared" ref="M102:N148" si="21">M$4+$P102*M$3</f>
        <v>5.1729681069958844E-3</v>
      </c>
      <c r="N102" s="11">
        <f t="shared" si="21"/>
        <v>4.9311985596707814E-3</v>
      </c>
      <c r="P102" s="3">
        <f t="shared" si="16"/>
        <v>98</v>
      </c>
    </row>
    <row r="103" spans="1:16" s="2" customFormat="1" x14ac:dyDescent="0.2">
      <c r="A103" s="25">
        <f t="shared" si="20"/>
        <v>2.2569444444444357E-2</v>
      </c>
      <c r="B103" s="9">
        <f t="shared" si="19"/>
        <v>1.6984953703703702E-3</v>
      </c>
      <c r="C103" s="10">
        <f t="shared" si="19"/>
        <v>2.5766782407407414E-3</v>
      </c>
      <c r="D103" s="10">
        <f t="shared" si="19"/>
        <v>3.4432870370370372E-3</v>
      </c>
      <c r="E103" s="10">
        <f t="shared" si="19"/>
        <v>4.333043981481482E-3</v>
      </c>
      <c r="F103" s="10">
        <f t="shared" si="19"/>
        <v>5.237991898148147E-3</v>
      </c>
      <c r="G103" s="10">
        <f t="shared" si="19"/>
        <v>7.0753761574074061E-3</v>
      </c>
      <c r="H103" s="11">
        <f t="shared" si="19"/>
        <v>8.9091435185185176E-3</v>
      </c>
      <c r="I103" s="9">
        <f t="shared" si="19"/>
        <v>4.6296296296296294E-3</v>
      </c>
      <c r="J103" s="10">
        <f t="shared" si="19"/>
        <v>4.7453703703703703E-3</v>
      </c>
      <c r="K103" s="10">
        <f t="shared" si="19"/>
        <v>4.8495370370370376E-3</v>
      </c>
      <c r="L103" s="11">
        <f t="shared" si="14"/>
        <v>5.3240740740740748E-3</v>
      </c>
      <c r="M103" s="9">
        <f t="shared" si="21"/>
        <v>5.1996527777777779E-3</v>
      </c>
      <c r="N103" s="11">
        <f t="shared" si="21"/>
        <v>4.9565972222222216E-3</v>
      </c>
      <c r="P103" s="3">
        <f t="shared" si="16"/>
        <v>99</v>
      </c>
    </row>
    <row r="104" spans="1:16" s="2" customFormat="1" x14ac:dyDescent="0.2">
      <c r="A104" s="25">
        <f t="shared" si="20"/>
        <v>2.2685185185185096E-2</v>
      </c>
      <c r="B104" s="9">
        <f t="shared" si="19"/>
        <v>1.707818930041152E-3</v>
      </c>
      <c r="C104" s="10">
        <f t="shared" si="19"/>
        <v>2.5906635802469139E-3</v>
      </c>
      <c r="D104" s="10">
        <f t="shared" si="19"/>
        <v>3.4619341563786009E-3</v>
      </c>
      <c r="E104" s="10">
        <f t="shared" si="19"/>
        <v>4.3563528806584368E-3</v>
      </c>
      <c r="F104" s="10">
        <f t="shared" si="19"/>
        <v>5.26588220164609E-3</v>
      </c>
      <c r="G104" s="10">
        <f t="shared" si="19"/>
        <v>7.1125900205761313E-3</v>
      </c>
      <c r="H104" s="11">
        <f t="shared" si="19"/>
        <v>8.9557613168724272E-3</v>
      </c>
      <c r="I104" s="9">
        <f t="shared" si="19"/>
        <v>4.6527777777777782E-3</v>
      </c>
      <c r="J104" s="10">
        <f t="shared" si="19"/>
        <v>4.7685185185185183E-3</v>
      </c>
      <c r="K104" s="10">
        <f t="shared" si="19"/>
        <v>4.8726851851851848E-3</v>
      </c>
      <c r="L104" s="11">
        <f t="shared" si="14"/>
        <v>5.347222222222222E-3</v>
      </c>
      <c r="M104" s="9">
        <f t="shared" si="21"/>
        <v>5.2263374485596713E-3</v>
      </c>
      <c r="N104" s="11">
        <f t="shared" si="21"/>
        <v>4.9819958847736618E-3</v>
      </c>
      <c r="P104" s="3">
        <f t="shared" si="16"/>
        <v>100</v>
      </c>
    </row>
    <row r="105" spans="1:16" s="2" customFormat="1" x14ac:dyDescent="0.2">
      <c r="A105" s="25">
        <f t="shared" si="20"/>
        <v>2.2800925925925836E-2</v>
      </c>
      <c r="B105" s="9">
        <f t="shared" ref="B105:K114" si="22">B$4+$P105*B$3</f>
        <v>1.717142489711934E-3</v>
      </c>
      <c r="C105" s="10">
        <f t="shared" si="22"/>
        <v>2.6046489197530873E-3</v>
      </c>
      <c r="D105" s="10">
        <f t="shared" si="22"/>
        <v>3.4805812757201645E-3</v>
      </c>
      <c r="E105" s="10">
        <f t="shared" si="22"/>
        <v>4.3796617798353915E-3</v>
      </c>
      <c r="F105" s="10">
        <f t="shared" si="22"/>
        <v>5.2937725051440329E-3</v>
      </c>
      <c r="G105" s="10">
        <f t="shared" si="22"/>
        <v>7.1498038837448548E-3</v>
      </c>
      <c r="H105" s="11">
        <f t="shared" si="22"/>
        <v>9.0023791152263367E-3</v>
      </c>
      <c r="I105" s="9">
        <f t="shared" si="22"/>
        <v>4.6759259259259254E-3</v>
      </c>
      <c r="J105" s="10">
        <f t="shared" si="22"/>
        <v>4.7916666666666663E-3</v>
      </c>
      <c r="K105" s="10">
        <f t="shared" si="22"/>
        <v>4.8958333333333336E-3</v>
      </c>
      <c r="L105" s="11">
        <f t="shared" si="14"/>
        <v>5.3703703703703708E-3</v>
      </c>
      <c r="M105" s="9">
        <f t="shared" si="21"/>
        <v>5.253022119341564E-3</v>
      </c>
      <c r="N105" s="11">
        <f t="shared" si="21"/>
        <v>5.007394547325102E-3</v>
      </c>
      <c r="P105" s="3">
        <f t="shared" si="16"/>
        <v>101</v>
      </c>
    </row>
    <row r="106" spans="1:16" s="2" customFormat="1" x14ac:dyDescent="0.2">
      <c r="A106" s="25">
        <f t="shared" si="20"/>
        <v>2.2916666666666575E-2</v>
      </c>
      <c r="B106" s="9">
        <f t="shared" si="22"/>
        <v>1.7264660493827159E-3</v>
      </c>
      <c r="C106" s="10">
        <f t="shared" si="22"/>
        <v>2.6186342592592598E-3</v>
      </c>
      <c r="D106" s="10">
        <f t="shared" si="22"/>
        <v>3.4992283950617282E-3</v>
      </c>
      <c r="E106" s="10">
        <f t="shared" si="22"/>
        <v>4.4029706790123455E-3</v>
      </c>
      <c r="F106" s="10">
        <f t="shared" si="22"/>
        <v>5.3216628086419741E-3</v>
      </c>
      <c r="G106" s="10">
        <f t="shared" si="22"/>
        <v>7.1870177469135791E-3</v>
      </c>
      <c r="H106" s="11">
        <f t="shared" si="22"/>
        <v>9.0489969135802463E-3</v>
      </c>
      <c r="I106" s="9">
        <f t="shared" si="22"/>
        <v>4.6990740740740743E-3</v>
      </c>
      <c r="J106" s="10">
        <f t="shared" si="22"/>
        <v>4.8148148148148152E-3</v>
      </c>
      <c r="K106" s="10">
        <f t="shared" si="22"/>
        <v>4.9189814814814816E-3</v>
      </c>
      <c r="L106" s="11">
        <f t="shared" si="14"/>
        <v>5.3935185185185188E-3</v>
      </c>
      <c r="M106" s="9">
        <f t="shared" si="21"/>
        <v>5.2797067901234566E-3</v>
      </c>
      <c r="N106" s="11">
        <f t="shared" si="21"/>
        <v>5.0327932098765422E-3</v>
      </c>
      <c r="P106" s="3">
        <f t="shared" si="16"/>
        <v>102</v>
      </c>
    </row>
    <row r="107" spans="1:16" s="2" customFormat="1" x14ac:dyDescent="0.2">
      <c r="A107" s="25">
        <f t="shared" si="20"/>
        <v>2.3032407407407314E-2</v>
      </c>
      <c r="B107" s="9">
        <f t="shared" si="22"/>
        <v>1.7357896090534979E-3</v>
      </c>
      <c r="C107" s="10">
        <f t="shared" si="22"/>
        <v>2.6326195987654323E-3</v>
      </c>
      <c r="D107" s="10">
        <f t="shared" si="22"/>
        <v>3.5178755144032923E-3</v>
      </c>
      <c r="E107" s="10">
        <f t="shared" si="22"/>
        <v>4.4262795781893002E-3</v>
      </c>
      <c r="F107" s="10">
        <f t="shared" si="22"/>
        <v>5.3495531121399171E-3</v>
      </c>
      <c r="G107" s="10">
        <f t="shared" si="22"/>
        <v>7.2242316100823035E-3</v>
      </c>
      <c r="H107" s="11">
        <f t="shared" si="22"/>
        <v>9.0956147119341559E-3</v>
      </c>
      <c r="I107" s="9">
        <f t="shared" si="22"/>
        <v>4.7222222222222223E-3</v>
      </c>
      <c r="J107" s="10">
        <f t="shared" si="22"/>
        <v>4.8379629629629623E-3</v>
      </c>
      <c r="K107" s="10">
        <f t="shared" si="22"/>
        <v>4.9421296296296297E-3</v>
      </c>
      <c r="L107" s="11">
        <f t="shared" si="14"/>
        <v>5.4166666666666669E-3</v>
      </c>
      <c r="M107" s="9">
        <f t="shared" si="21"/>
        <v>5.3063914609053501E-3</v>
      </c>
      <c r="N107" s="11">
        <f t="shared" si="21"/>
        <v>5.0581918724279824E-3</v>
      </c>
      <c r="P107" s="3">
        <f t="shared" si="16"/>
        <v>103</v>
      </c>
    </row>
    <row r="108" spans="1:16" s="2" customFormat="1" x14ac:dyDescent="0.2">
      <c r="A108" s="25">
        <f t="shared" si="20"/>
        <v>2.3148148148148053E-2</v>
      </c>
      <c r="B108" s="9">
        <f t="shared" si="22"/>
        <v>1.7451131687242797E-3</v>
      </c>
      <c r="C108" s="10">
        <f t="shared" si="22"/>
        <v>2.6466049382716057E-3</v>
      </c>
      <c r="D108" s="10">
        <f t="shared" si="22"/>
        <v>3.5365226337448563E-3</v>
      </c>
      <c r="E108" s="10">
        <f t="shared" si="22"/>
        <v>4.449588477366255E-3</v>
      </c>
      <c r="F108" s="10">
        <f t="shared" si="22"/>
        <v>5.37744341563786E-3</v>
      </c>
      <c r="G108" s="10">
        <f t="shared" si="22"/>
        <v>7.2614454732510278E-3</v>
      </c>
      <c r="H108" s="11">
        <f t="shared" si="22"/>
        <v>9.1422325102880654E-3</v>
      </c>
      <c r="I108" s="9">
        <f t="shared" si="22"/>
        <v>4.7453703703703703E-3</v>
      </c>
      <c r="J108" s="10">
        <f t="shared" si="22"/>
        <v>4.8611111111111112E-3</v>
      </c>
      <c r="K108" s="10">
        <f t="shared" si="22"/>
        <v>4.9652777777777777E-3</v>
      </c>
      <c r="L108" s="11">
        <f t="shared" si="14"/>
        <v>5.4398148148148149E-3</v>
      </c>
      <c r="M108" s="9">
        <f t="shared" si="21"/>
        <v>5.3330761316872427E-3</v>
      </c>
      <c r="N108" s="11">
        <f t="shared" si="21"/>
        <v>5.0835905349794226E-3</v>
      </c>
      <c r="P108" s="3">
        <f t="shared" si="16"/>
        <v>104</v>
      </c>
    </row>
    <row r="109" spans="1:16" s="2" customFormat="1" x14ac:dyDescent="0.2">
      <c r="A109" s="25">
        <f t="shared" si="20"/>
        <v>2.3263888888888792E-2</v>
      </c>
      <c r="B109" s="9">
        <f t="shared" si="22"/>
        <v>1.7544367283950616E-3</v>
      </c>
      <c r="C109" s="10">
        <f t="shared" si="22"/>
        <v>2.6605902777777782E-3</v>
      </c>
      <c r="D109" s="10">
        <f t="shared" si="22"/>
        <v>3.55516975308642E-3</v>
      </c>
      <c r="E109" s="10">
        <f t="shared" si="22"/>
        <v>4.4728973765432098E-3</v>
      </c>
      <c r="F109" s="10">
        <f t="shared" si="22"/>
        <v>5.4053337191358013E-3</v>
      </c>
      <c r="G109" s="10">
        <f t="shared" si="22"/>
        <v>7.2986593364197522E-3</v>
      </c>
      <c r="H109" s="11">
        <f t="shared" si="22"/>
        <v>9.188850308641975E-3</v>
      </c>
      <c r="I109" s="9">
        <f t="shared" si="22"/>
        <v>4.7685185185185192E-3</v>
      </c>
      <c r="J109" s="10">
        <f t="shared" si="22"/>
        <v>4.8842592592592592E-3</v>
      </c>
      <c r="K109" s="10">
        <f t="shared" si="22"/>
        <v>4.9884259259259257E-3</v>
      </c>
      <c r="L109" s="11">
        <f t="shared" si="14"/>
        <v>5.4629629629629629E-3</v>
      </c>
      <c r="M109" s="9">
        <f t="shared" si="21"/>
        <v>5.3597608024691362E-3</v>
      </c>
      <c r="N109" s="11">
        <f t="shared" si="21"/>
        <v>5.1089891975308636E-3</v>
      </c>
      <c r="P109" s="3">
        <f t="shared" si="16"/>
        <v>105</v>
      </c>
    </row>
    <row r="110" spans="1:16" s="2" customFormat="1" x14ac:dyDescent="0.2">
      <c r="A110" s="25">
        <f t="shared" si="20"/>
        <v>2.3379629629629532E-2</v>
      </c>
      <c r="B110" s="9">
        <f t="shared" si="22"/>
        <v>1.7637602880658434E-3</v>
      </c>
      <c r="C110" s="10">
        <f t="shared" si="22"/>
        <v>2.6745756172839512E-3</v>
      </c>
      <c r="D110" s="10">
        <f t="shared" si="22"/>
        <v>3.5738168724279836E-3</v>
      </c>
      <c r="E110" s="10">
        <f t="shared" si="22"/>
        <v>4.4962062757201646E-3</v>
      </c>
      <c r="F110" s="10">
        <f t="shared" si="22"/>
        <v>5.4332240226337442E-3</v>
      </c>
      <c r="G110" s="10">
        <f t="shared" si="22"/>
        <v>7.3358731995884765E-3</v>
      </c>
      <c r="H110" s="11">
        <f t="shared" si="22"/>
        <v>9.2354681069958845E-3</v>
      </c>
      <c r="I110" s="9">
        <f t="shared" si="22"/>
        <v>4.7916666666666663E-3</v>
      </c>
      <c r="J110" s="10">
        <f t="shared" si="22"/>
        <v>4.9074074074074072E-3</v>
      </c>
      <c r="K110" s="10">
        <f t="shared" si="22"/>
        <v>5.0115740740740745E-3</v>
      </c>
      <c r="L110" s="11">
        <f t="shared" si="14"/>
        <v>5.4861111111111117E-3</v>
      </c>
      <c r="M110" s="9">
        <f t="shared" si="21"/>
        <v>5.3864454732510288E-3</v>
      </c>
      <c r="N110" s="11">
        <f t="shared" si="21"/>
        <v>5.1343878600823038E-3</v>
      </c>
      <c r="P110" s="3">
        <f t="shared" si="16"/>
        <v>106</v>
      </c>
    </row>
    <row r="111" spans="1:16" s="2" customFormat="1" x14ac:dyDescent="0.2">
      <c r="A111" s="25">
        <f t="shared" si="20"/>
        <v>2.3495370370370271E-2</v>
      </c>
      <c r="B111" s="9">
        <f t="shared" si="22"/>
        <v>1.7730838477366254E-3</v>
      </c>
      <c r="C111" s="10">
        <f t="shared" si="22"/>
        <v>2.6885609567901241E-3</v>
      </c>
      <c r="D111" s="10">
        <f t="shared" si="22"/>
        <v>3.5924639917695473E-3</v>
      </c>
      <c r="E111" s="10">
        <f t="shared" si="22"/>
        <v>4.5195151748971193E-3</v>
      </c>
      <c r="F111" s="10">
        <f t="shared" si="22"/>
        <v>5.4611143261316872E-3</v>
      </c>
      <c r="G111" s="10">
        <f t="shared" si="22"/>
        <v>7.3730870627572009E-3</v>
      </c>
      <c r="H111" s="11">
        <f t="shared" si="22"/>
        <v>9.2820859053497941E-3</v>
      </c>
      <c r="I111" s="9">
        <f t="shared" si="22"/>
        <v>4.8148148148148152E-3</v>
      </c>
      <c r="J111" s="10">
        <f t="shared" si="22"/>
        <v>4.9305555555555552E-3</v>
      </c>
      <c r="K111" s="10">
        <f t="shared" si="22"/>
        <v>5.0347222222222217E-3</v>
      </c>
      <c r="L111" s="11">
        <f t="shared" si="14"/>
        <v>5.5092592592592589E-3</v>
      </c>
      <c r="M111" s="9">
        <f t="shared" si="21"/>
        <v>5.4131301440329214E-3</v>
      </c>
      <c r="N111" s="11">
        <f t="shared" si="21"/>
        <v>5.159786522633744E-3</v>
      </c>
      <c r="P111" s="3">
        <f t="shared" si="16"/>
        <v>107</v>
      </c>
    </row>
    <row r="112" spans="1:16" s="2" customFormat="1" x14ac:dyDescent="0.2">
      <c r="A112" s="25">
        <f t="shared" si="20"/>
        <v>2.361111111111101E-2</v>
      </c>
      <c r="B112" s="9">
        <f t="shared" si="22"/>
        <v>1.7824074074074072E-3</v>
      </c>
      <c r="C112" s="10">
        <f t="shared" si="22"/>
        <v>2.7025462962962966E-3</v>
      </c>
      <c r="D112" s="10">
        <f t="shared" si="22"/>
        <v>3.6111111111111114E-3</v>
      </c>
      <c r="E112" s="10">
        <f t="shared" si="22"/>
        <v>4.5428240740740741E-3</v>
      </c>
      <c r="F112" s="10">
        <f t="shared" si="22"/>
        <v>5.4890046296296284E-3</v>
      </c>
      <c r="G112" s="10">
        <f t="shared" si="22"/>
        <v>7.4103009259259252E-3</v>
      </c>
      <c r="H112" s="11">
        <f t="shared" si="22"/>
        <v>9.3287037037037036E-3</v>
      </c>
      <c r="I112" s="9">
        <f t="shared" si="22"/>
        <v>4.8379629629629632E-3</v>
      </c>
      <c r="J112" s="10">
        <f t="shared" si="22"/>
        <v>4.9537037037037032E-3</v>
      </c>
      <c r="K112" s="10">
        <f t="shared" si="22"/>
        <v>5.0578703703703706E-3</v>
      </c>
      <c r="L112" s="11">
        <f t="shared" si="14"/>
        <v>5.5324074074074078E-3</v>
      </c>
      <c r="M112" s="9">
        <f t="shared" si="21"/>
        <v>5.4398148148148149E-3</v>
      </c>
      <c r="N112" s="11">
        <f t="shared" si="21"/>
        <v>5.185185185185185E-3</v>
      </c>
      <c r="P112" s="3">
        <f t="shared" si="16"/>
        <v>108</v>
      </c>
    </row>
    <row r="113" spans="1:16" s="2" customFormat="1" x14ac:dyDescent="0.2">
      <c r="A113" s="25">
        <f t="shared" si="20"/>
        <v>2.3726851851851749E-2</v>
      </c>
      <c r="B113" s="9">
        <f t="shared" si="22"/>
        <v>1.7917309670781891E-3</v>
      </c>
      <c r="C113" s="10">
        <f t="shared" si="22"/>
        <v>2.71653163580247E-3</v>
      </c>
      <c r="D113" s="10">
        <f t="shared" si="22"/>
        <v>3.629758230452675E-3</v>
      </c>
      <c r="E113" s="10">
        <f t="shared" si="22"/>
        <v>4.5661329732510289E-3</v>
      </c>
      <c r="F113" s="10">
        <f t="shared" si="22"/>
        <v>5.5168949331275714E-3</v>
      </c>
      <c r="G113" s="10">
        <f t="shared" si="22"/>
        <v>7.4475147890946496E-3</v>
      </c>
      <c r="H113" s="11">
        <f t="shared" si="22"/>
        <v>9.3753215020576132E-3</v>
      </c>
      <c r="I113" s="9">
        <f t="shared" si="22"/>
        <v>4.8611111111111112E-3</v>
      </c>
      <c r="J113" s="10">
        <f t="shared" si="22"/>
        <v>4.9768518518518521E-3</v>
      </c>
      <c r="K113" s="10">
        <f t="shared" si="22"/>
        <v>5.0810185185185186E-3</v>
      </c>
      <c r="L113" s="11">
        <f t="shared" si="14"/>
        <v>5.5555555555555558E-3</v>
      </c>
      <c r="M113" s="9">
        <f t="shared" si="21"/>
        <v>5.4664994855967083E-3</v>
      </c>
      <c r="N113" s="11">
        <f t="shared" si="21"/>
        <v>5.2105838477366252E-3</v>
      </c>
      <c r="P113" s="3">
        <f t="shared" si="16"/>
        <v>109</v>
      </c>
    </row>
    <row r="114" spans="1:16" s="2" customFormat="1" x14ac:dyDescent="0.2">
      <c r="A114" s="25">
        <f t="shared" si="20"/>
        <v>2.3842592592592488E-2</v>
      </c>
      <c r="B114" s="9">
        <f t="shared" si="22"/>
        <v>1.8010545267489711E-3</v>
      </c>
      <c r="C114" s="10">
        <f t="shared" si="22"/>
        <v>2.7305169753086425E-3</v>
      </c>
      <c r="D114" s="10">
        <f t="shared" si="22"/>
        <v>3.6484053497942387E-3</v>
      </c>
      <c r="E114" s="10">
        <f t="shared" si="22"/>
        <v>4.5894418724279837E-3</v>
      </c>
      <c r="F114" s="10">
        <f t="shared" si="22"/>
        <v>5.5447852366255143E-3</v>
      </c>
      <c r="G114" s="10">
        <f t="shared" si="22"/>
        <v>7.4847286522633739E-3</v>
      </c>
      <c r="H114" s="11">
        <f t="shared" si="22"/>
        <v>9.4219393004115227E-3</v>
      </c>
      <c r="I114" s="9">
        <f t="shared" si="22"/>
        <v>4.8842592592592592E-3</v>
      </c>
      <c r="J114" s="10">
        <f t="shared" si="22"/>
        <v>4.9999999999999992E-3</v>
      </c>
      <c r="K114" s="10">
        <f t="shared" si="22"/>
        <v>5.1041666666666666E-3</v>
      </c>
      <c r="L114" s="11">
        <f t="shared" si="14"/>
        <v>5.5787037037037038E-3</v>
      </c>
      <c r="M114" s="9">
        <f t="shared" si="21"/>
        <v>5.493184156378601E-3</v>
      </c>
      <c r="N114" s="11">
        <f t="shared" si="21"/>
        <v>5.2359825102880654E-3</v>
      </c>
      <c r="P114" s="3">
        <f t="shared" si="16"/>
        <v>110</v>
      </c>
    </row>
    <row r="115" spans="1:16" s="2" customFormat="1" x14ac:dyDescent="0.2">
      <c r="A115" s="25">
        <f t="shared" si="20"/>
        <v>2.3958333333333227E-2</v>
      </c>
      <c r="B115" s="9">
        <f t="shared" ref="B115:K124" si="23">B$4+$P115*B$3</f>
        <v>1.8103780864197529E-3</v>
      </c>
      <c r="C115" s="10">
        <f t="shared" si="23"/>
        <v>2.7445023148148151E-3</v>
      </c>
      <c r="D115" s="10">
        <f t="shared" si="23"/>
        <v>3.6670524691358028E-3</v>
      </c>
      <c r="E115" s="10">
        <f t="shared" si="23"/>
        <v>4.6127507716049385E-3</v>
      </c>
      <c r="F115" s="10">
        <f t="shared" si="23"/>
        <v>5.5726755401234555E-3</v>
      </c>
      <c r="G115" s="10">
        <f t="shared" si="23"/>
        <v>7.5219425154320974E-3</v>
      </c>
      <c r="H115" s="11">
        <f t="shared" si="23"/>
        <v>9.4685570987654323E-3</v>
      </c>
      <c r="I115" s="9">
        <f t="shared" si="23"/>
        <v>4.9074074074074072E-3</v>
      </c>
      <c r="J115" s="10">
        <f t="shared" si="23"/>
        <v>5.0231481481481481E-3</v>
      </c>
      <c r="K115" s="10">
        <f t="shared" si="23"/>
        <v>5.1273148148148154E-3</v>
      </c>
      <c r="L115" s="11">
        <f t="shared" si="14"/>
        <v>5.6018518518518527E-3</v>
      </c>
      <c r="M115" s="9">
        <f t="shared" si="21"/>
        <v>5.5198688271604936E-3</v>
      </c>
      <c r="N115" s="11">
        <f t="shared" si="21"/>
        <v>5.2613811728395056E-3</v>
      </c>
      <c r="P115" s="3">
        <f t="shared" si="16"/>
        <v>111</v>
      </c>
    </row>
    <row r="116" spans="1:16" s="2" customFormat="1" x14ac:dyDescent="0.2">
      <c r="A116" s="25">
        <f t="shared" si="20"/>
        <v>2.4074074074073967E-2</v>
      </c>
      <c r="B116" s="9">
        <f t="shared" si="23"/>
        <v>1.8197016460905348E-3</v>
      </c>
      <c r="C116" s="10">
        <f t="shared" si="23"/>
        <v>2.7584876543209885E-3</v>
      </c>
      <c r="D116" s="10">
        <f t="shared" si="23"/>
        <v>3.6856995884773664E-3</v>
      </c>
      <c r="E116" s="10">
        <f t="shared" si="23"/>
        <v>4.6360596707818932E-3</v>
      </c>
      <c r="F116" s="10">
        <f t="shared" si="23"/>
        <v>5.6005658436213985E-3</v>
      </c>
      <c r="G116" s="10">
        <f t="shared" si="23"/>
        <v>7.5591563786008217E-3</v>
      </c>
      <c r="H116" s="11">
        <f t="shared" si="23"/>
        <v>9.5151748971193419E-3</v>
      </c>
      <c r="I116" s="9">
        <f t="shared" si="23"/>
        <v>4.9305555555555561E-3</v>
      </c>
      <c r="J116" s="10">
        <f t="shared" si="23"/>
        <v>5.0462962962962961E-3</v>
      </c>
      <c r="K116" s="10">
        <f t="shared" si="23"/>
        <v>5.1504629629629626E-3</v>
      </c>
      <c r="L116" s="11">
        <f t="shared" si="14"/>
        <v>5.6249999999999998E-3</v>
      </c>
      <c r="M116" s="9">
        <f t="shared" si="21"/>
        <v>5.546553497942387E-3</v>
      </c>
      <c r="N116" s="11">
        <f t="shared" si="21"/>
        <v>5.2867798353909458E-3</v>
      </c>
      <c r="P116" s="3">
        <f t="shared" si="16"/>
        <v>112</v>
      </c>
    </row>
    <row r="117" spans="1:16" s="2" customFormat="1" x14ac:dyDescent="0.2">
      <c r="A117" s="25">
        <f t="shared" si="20"/>
        <v>2.4189814814814706E-2</v>
      </c>
      <c r="B117" s="9">
        <f t="shared" si="23"/>
        <v>1.8290252057613166E-3</v>
      </c>
      <c r="C117" s="10">
        <f t="shared" si="23"/>
        <v>2.772472993827161E-3</v>
      </c>
      <c r="D117" s="10">
        <f t="shared" si="23"/>
        <v>3.7043467078189301E-3</v>
      </c>
      <c r="E117" s="10">
        <f t="shared" si="23"/>
        <v>4.659368569958848E-3</v>
      </c>
      <c r="F117" s="10">
        <f t="shared" si="23"/>
        <v>5.6284561471193414E-3</v>
      </c>
      <c r="G117" s="10">
        <f t="shared" si="23"/>
        <v>7.5963702417695461E-3</v>
      </c>
      <c r="H117" s="11">
        <f t="shared" si="23"/>
        <v>9.5617926954732514E-3</v>
      </c>
      <c r="I117" s="9">
        <f t="shared" si="23"/>
        <v>4.9537037037037032E-3</v>
      </c>
      <c r="J117" s="10">
        <f t="shared" si="23"/>
        <v>5.0694444444444441E-3</v>
      </c>
      <c r="K117" s="10">
        <f t="shared" si="23"/>
        <v>5.1736111111111115E-3</v>
      </c>
      <c r="L117" s="11">
        <f t="shared" si="14"/>
        <v>5.6481481481481487E-3</v>
      </c>
      <c r="M117" s="9">
        <f t="shared" si="21"/>
        <v>5.5732381687242805E-3</v>
      </c>
      <c r="N117" s="11">
        <f t="shared" si="21"/>
        <v>5.312178497942386E-3</v>
      </c>
      <c r="P117" s="3">
        <f t="shared" si="16"/>
        <v>113</v>
      </c>
    </row>
    <row r="118" spans="1:16" s="2" customFormat="1" x14ac:dyDescent="0.2">
      <c r="A118" s="25">
        <f t="shared" si="20"/>
        <v>2.4305555555555445E-2</v>
      </c>
      <c r="B118" s="9">
        <f t="shared" si="23"/>
        <v>1.8383487654320986E-3</v>
      </c>
      <c r="C118" s="10">
        <f t="shared" si="23"/>
        <v>2.7864583333333339E-3</v>
      </c>
      <c r="D118" s="10">
        <f t="shared" si="23"/>
        <v>3.7229938271604941E-3</v>
      </c>
      <c r="E118" s="10">
        <f t="shared" si="23"/>
        <v>4.6826774691358028E-3</v>
      </c>
      <c r="F118" s="10">
        <f t="shared" si="23"/>
        <v>5.6563464506172827E-3</v>
      </c>
      <c r="G118" s="10">
        <f t="shared" si="23"/>
        <v>7.6335841049382704E-3</v>
      </c>
      <c r="H118" s="11">
        <f t="shared" si="23"/>
        <v>9.608410493827161E-3</v>
      </c>
      <c r="I118" s="9">
        <f t="shared" si="23"/>
        <v>4.9768518518518521E-3</v>
      </c>
      <c r="J118" s="10">
        <f t="shared" si="23"/>
        <v>5.092592592592593E-3</v>
      </c>
      <c r="K118" s="10">
        <f t="shared" si="23"/>
        <v>5.1967592592592595E-3</v>
      </c>
      <c r="L118" s="11">
        <f t="shared" si="14"/>
        <v>5.6712962962962967E-3</v>
      </c>
      <c r="M118" s="9">
        <f t="shared" si="21"/>
        <v>5.5999228395061731E-3</v>
      </c>
      <c r="N118" s="11">
        <f t="shared" si="21"/>
        <v>5.3375771604938262E-3</v>
      </c>
      <c r="P118" s="3">
        <f t="shared" si="16"/>
        <v>114</v>
      </c>
    </row>
    <row r="119" spans="1:16" s="2" customFormat="1" x14ac:dyDescent="0.2">
      <c r="A119" s="25">
        <f t="shared" si="20"/>
        <v>2.4421296296296184E-2</v>
      </c>
      <c r="B119" s="9">
        <f t="shared" si="23"/>
        <v>1.8476723251028805E-3</v>
      </c>
      <c r="C119" s="10">
        <f t="shared" si="23"/>
        <v>2.8004436728395069E-3</v>
      </c>
      <c r="D119" s="10">
        <f t="shared" si="23"/>
        <v>3.7416409465020578E-3</v>
      </c>
      <c r="E119" s="10">
        <f t="shared" si="23"/>
        <v>4.7059863683127576E-3</v>
      </c>
      <c r="F119" s="10">
        <f t="shared" si="23"/>
        <v>5.6842367541152256E-3</v>
      </c>
      <c r="G119" s="10">
        <f t="shared" si="23"/>
        <v>7.6707979681069948E-3</v>
      </c>
      <c r="H119" s="11">
        <f t="shared" si="23"/>
        <v>9.6550282921810705E-3</v>
      </c>
      <c r="I119" s="9">
        <f t="shared" si="23"/>
        <v>5.0000000000000001E-3</v>
      </c>
      <c r="J119" s="10">
        <f t="shared" si="23"/>
        <v>5.1157407407407401E-3</v>
      </c>
      <c r="K119" s="10">
        <f t="shared" si="23"/>
        <v>5.2199074074074075E-3</v>
      </c>
      <c r="L119" s="11">
        <f t="shared" si="14"/>
        <v>5.6944444444444447E-3</v>
      </c>
      <c r="M119" s="9">
        <f t="shared" si="21"/>
        <v>5.6266075102880658E-3</v>
      </c>
      <c r="N119" s="11">
        <f t="shared" si="21"/>
        <v>5.3629758230452663E-3</v>
      </c>
      <c r="P119" s="3">
        <f t="shared" si="16"/>
        <v>115</v>
      </c>
    </row>
    <row r="120" spans="1:16" s="2" customFormat="1" x14ac:dyDescent="0.2">
      <c r="A120" s="25">
        <f t="shared" si="20"/>
        <v>2.4537037037036923E-2</v>
      </c>
      <c r="B120" s="9">
        <f t="shared" si="23"/>
        <v>1.8569958847736623E-3</v>
      </c>
      <c r="C120" s="10">
        <f t="shared" si="23"/>
        <v>2.8144290123456794E-3</v>
      </c>
      <c r="D120" s="10">
        <f t="shared" si="23"/>
        <v>3.7602880658436214E-3</v>
      </c>
      <c r="E120" s="10">
        <f t="shared" si="23"/>
        <v>4.7292952674897124E-3</v>
      </c>
      <c r="F120" s="10">
        <f t="shared" si="23"/>
        <v>5.7121270576131686E-3</v>
      </c>
      <c r="G120" s="10">
        <f t="shared" si="23"/>
        <v>7.7080118312757191E-3</v>
      </c>
      <c r="H120" s="11">
        <f t="shared" si="23"/>
        <v>9.7016460905349801E-3</v>
      </c>
      <c r="I120" s="9">
        <f t="shared" si="23"/>
        <v>5.0231481481481481E-3</v>
      </c>
      <c r="J120" s="10">
        <f t="shared" si="23"/>
        <v>5.138888888888889E-3</v>
      </c>
      <c r="K120" s="10">
        <f t="shared" si="23"/>
        <v>5.2430555555555555E-3</v>
      </c>
      <c r="L120" s="11">
        <f t="shared" si="14"/>
        <v>5.7175925925925927E-3</v>
      </c>
      <c r="M120" s="9">
        <f t="shared" si="21"/>
        <v>5.6532921810699584E-3</v>
      </c>
      <c r="N120" s="11">
        <f t="shared" si="21"/>
        <v>5.3883744855967065E-3</v>
      </c>
      <c r="P120" s="3">
        <f t="shared" si="16"/>
        <v>116</v>
      </c>
    </row>
    <row r="121" spans="1:16" s="2" customFormat="1" x14ac:dyDescent="0.2">
      <c r="A121" s="25">
        <f t="shared" si="20"/>
        <v>2.4652777777777662E-2</v>
      </c>
      <c r="B121" s="9">
        <f t="shared" si="23"/>
        <v>1.8663194444444443E-3</v>
      </c>
      <c r="C121" s="10">
        <f t="shared" si="23"/>
        <v>2.8284143518518528E-3</v>
      </c>
      <c r="D121" s="10">
        <f t="shared" si="23"/>
        <v>3.7789351851851851E-3</v>
      </c>
      <c r="E121" s="10">
        <f t="shared" si="23"/>
        <v>4.7526041666666671E-3</v>
      </c>
      <c r="F121" s="10">
        <f t="shared" si="23"/>
        <v>5.7400173611111107E-3</v>
      </c>
      <c r="G121" s="10">
        <f t="shared" si="23"/>
        <v>7.7452256944444435E-3</v>
      </c>
      <c r="H121" s="11">
        <f t="shared" si="23"/>
        <v>9.7482638888888896E-3</v>
      </c>
      <c r="I121" s="9">
        <f t="shared" si="23"/>
        <v>5.0462962962962961E-3</v>
      </c>
      <c r="J121" s="10">
        <f t="shared" si="23"/>
        <v>5.1620370370370362E-3</v>
      </c>
      <c r="K121" s="10">
        <f t="shared" si="23"/>
        <v>5.2662037037037035E-3</v>
      </c>
      <c r="L121" s="11">
        <f t="shared" si="14"/>
        <v>5.7407407407407407E-3</v>
      </c>
      <c r="M121" s="9">
        <f t="shared" si="21"/>
        <v>5.6799768518518519E-3</v>
      </c>
      <c r="N121" s="11">
        <f t="shared" si="21"/>
        <v>5.4137731481481476E-3</v>
      </c>
      <c r="P121" s="3">
        <f t="shared" si="16"/>
        <v>117</v>
      </c>
    </row>
    <row r="122" spans="1:16" s="2" customFormat="1" x14ac:dyDescent="0.2">
      <c r="A122" s="25">
        <f t="shared" si="20"/>
        <v>2.4768518518518402E-2</v>
      </c>
      <c r="B122" s="9">
        <f t="shared" si="23"/>
        <v>1.8756430041152261E-3</v>
      </c>
      <c r="C122" s="10">
        <f t="shared" si="23"/>
        <v>2.8423996913580253E-3</v>
      </c>
      <c r="D122" s="10">
        <f t="shared" si="23"/>
        <v>3.7975823045267492E-3</v>
      </c>
      <c r="E122" s="10">
        <f t="shared" si="23"/>
        <v>4.7759130658436219E-3</v>
      </c>
      <c r="F122" s="10">
        <f t="shared" si="23"/>
        <v>5.7679076646090528E-3</v>
      </c>
      <c r="G122" s="10">
        <f t="shared" si="23"/>
        <v>7.7824395576131678E-3</v>
      </c>
      <c r="H122" s="11">
        <f t="shared" si="23"/>
        <v>9.7948816872427992E-3</v>
      </c>
      <c r="I122" s="9">
        <f t="shared" si="23"/>
        <v>5.0694444444444441E-3</v>
      </c>
      <c r="J122" s="10">
        <f t="shared" si="23"/>
        <v>5.185185185185185E-3</v>
      </c>
      <c r="K122" s="10">
        <f t="shared" si="23"/>
        <v>5.2893518518518524E-3</v>
      </c>
      <c r="L122" s="11">
        <f t="shared" si="14"/>
        <v>5.7638888888888896E-3</v>
      </c>
      <c r="M122" s="9">
        <f t="shared" si="21"/>
        <v>5.7066615226337453E-3</v>
      </c>
      <c r="N122" s="11">
        <f t="shared" si="21"/>
        <v>5.4391718106995878E-3</v>
      </c>
      <c r="P122" s="3">
        <f t="shared" si="16"/>
        <v>118</v>
      </c>
    </row>
    <row r="123" spans="1:16" s="2" customFormat="1" x14ac:dyDescent="0.2">
      <c r="A123" s="25">
        <f t="shared" si="20"/>
        <v>2.4884259259259141E-2</v>
      </c>
      <c r="B123" s="9">
        <f t="shared" si="23"/>
        <v>1.884966563786008E-3</v>
      </c>
      <c r="C123" s="10">
        <f t="shared" si="23"/>
        <v>2.8563850308641978E-3</v>
      </c>
      <c r="D123" s="10">
        <f t="shared" si="23"/>
        <v>3.8162294238683128E-3</v>
      </c>
      <c r="E123" s="10">
        <f t="shared" si="23"/>
        <v>4.7992219650205767E-3</v>
      </c>
      <c r="F123" s="10">
        <f t="shared" si="23"/>
        <v>5.7957979681069957E-3</v>
      </c>
      <c r="G123" s="10">
        <f t="shared" si="23"/>
        <v>7.8196534207818913E-3</v>
      </c>
      <c r="H123" s="11">
        <f t="shared" si="23"/>
        <v>9.8414994855967088E-3</v>
      </c>
      <c r="I123" s="9">
        <f t="shared" si="23"/>
        <v>5.092592592592593E-3</v>
      </c>
      <c r="J123" s="10">
        <f t="shared" si="23"/>
        <v>5.208333333333333E-3</v>
      </c>
      <c r="K123" s="10">
        <f t="shared" si="23"/>
        <v>5.3124999999999995E-3</v>
      </c>
      <c r="L123" s="11">
        <f t="shared" si="14"/>
        <v>5.7870370370370367E-3</v>
      </c>
      <c r="M123" s="9">
        <f t="shared" si="21"/>
        <v>5.7333461934156379E-3</v>
      </c>
      <c r="N123" s="11">
        <f t="shared" si="21"/>
        <v>5.464570473251028E-3</v>
      </c>
      <c r="P123" s="3">
        <f t="shared" si="16"/>
        <v>119</v>
      </c>
    </row>
    <row r="124" spans="1:16" s="2" customFormat="1" x14ac:dyDescent="0.2">
      <c r="A124" s="25">
        <f t="shared" si="20"/>
        <v>2.499999999999988E-2</v>
      </c>
      <c r="B124" s="9">
        <f t="shared" si="23"/>
        <v>1.89429012345679E-3</v>
      </c>
      <c r="C124" s="10">
        <f t="shared" si="23"/>
        <v>2.8703703703703712E-3</v>
      </c>
      <c r="D124" s="10">
        <f t="shared" si="23"/>
        <v>3.8348765432098765E-3</v>
      </c>
      <c r="E124" s="10">
        <f t="shared" si="23"/>
        <v>4.8225308641975315E-3</v>
      </c>
      <c r="F124" s="10">
        <f t="shared" si="23"/>
        <v>5.8236882716049378E-3</v>
      </c>
      <c r="G124" s="10">
        <f t="shared" si="23"/>
        <v>7.8568672839506165E-3</v>
      </c>
      <c r="H124" s="11">
        <f t="shared" si="23"/>
        <v>9.8881172839506183E-3</v>
      </c>
      <c r="I124" s="9">
        <f t="shared" si="23"/>
        <v>5.1157407407407401E-3</v>
      </c>
      <c r="J124" s="10">
        <f t="shared" si="23"/>
        <v>5.2314814814814811E-3</v>
      </c>
      <c r="K124" s="10">
        <f t="shared" si="23"/>
        <v>5.3356481481481484E-3</v>
      </c>
      <c r="L124" s="11">
        <f t="shared" si="14"/>
        <v>5.8101851851851856E-3</v>
      </c>
      <c r="M124" s="9">
        <f t="shared" si="21"/>
        <v>5.7600308641975306E-3</v>
      </c>
      <c r="N124" s="11">
        <f t="shared" si="21"/>
        <v>5.489969135802469E-3</v>
      </c>
      <c r="P124" s="3">
        <f t="shared" si="16"/>
        <v>120</v>
      </c>
    </row>
    <row r="125" spans="1:16" s="2" customFormat="1" x14ac:dyDescent="0.2">
      <c r="A125" s="25">
        <f t="shared" si="20"/>
        <v>2.5115740740740619E-2</v>
      </c>
      <c r="B125" s="9">
        <f t="shared" ref="B125:K134" si="24">B$4+$P125*B$3</f>
        <v>1.9036136831275718E-3</v>
      </c>
      <c r="C125" s="10">
        <f t="shared" si="24"/>
        <v>2.8843557098765437E-3</v>
      </c>
      <c r="D125" s="10">
        <f t="shared" si="24"/>
        <v>3.8535236625514406E-3</v>
      </c>
      <c r="E125" s="10">
        <f t="shared" si="24"/>
        <v>4.8458397633744862E-3</v>
      </c>
      <c r="F125" s="10">
        <f t="shared" si="24"/>
        <v>5.8515785751028799E-3</v>
      </c>
      <c r="G125" s="10">
        <f t="shared" si="24"/>
        <v>7.8940811471193417E-3</v>
      </c>
      <c r="H125" s="11">
        <f t="shared" si="24"/>
        <v>9.9347350823045279E-3</v>
      </c>
      <c r="I125" s="9">
        <f t="shared" si="24"/>
        <v>5.138888888888889E-3</v>
      </c>
      <c r="J125" s="10">
        <f t="shared" si="24"/>
        <v>5.2546296296296299E-3</v>
      </c>
      <c r="K125" s="10">
        <f t="shared" si="24"/>
        <v>5.3587962962962964E-3</v>
      </c>
      <c r="L125" s="11">
        <f t="shared" si="14"/>
        <v>5.8333333333333336E-3</v>
      </c>
      <c r="M125" s="9">
        <f t="shared" si="21"/>
        <v>5.786715534979424E-3</v>
      </c>
      <c r="N125" s="11">
        <f t="shared" si="21"/>
        <v>5.5153677983539092E-3</v>
      </c>
      <c r="P125" s="3">
        <f t="shared" si="16"/>
        <v>121</v>
      </c>
    </row>
    <row r="126" spans="1:16" s="2" customFormat="1" x14ac:dyDescent="0.2">
      <c r="A126" s="25">
        <f t="shared" si="20"/>
        <v>2.5231481481481358E-2</v>
      </c>
      <c r="B126" s="9">
        <f t="shared" si="24"/>
        <v>1.9129372427983537E-3</v>
      </c>
      <c r="C126" s="10">
        <f t="shared" si="24"/>
        <v>2.8983410493827167E-3</v>
      </c>
      <c r="D126" s="10">
        <f t="shared" si="24"/>
        <v>3.8721707818930042E-3</v>
      </c>
      <c r="E126" s="10">
        <f t="shared" si="24"/>
        <v>4.869148662551441E-3</v>
      </c>
      <c r="F126" s="10">
        <f t="shared" si="24"/>
        <v>5.8794688786008228E-3</v>
      </c>
      <c r="G126" s="10">
        <f t="shared" si="24"/>
        <v>7.9312950102880652E-3</v>
      </c>
      <c r="H126" s="11">
        <f t="shared" si="24"/>
        <v>9.9813528806584374E-3</v>
      </c>
      <c r="I126" s="9">
        <f t="shared" si="24"/>
        <v>5.162037037037037E-3</v>
      </c>
      <c r="J126" s="10">
        <f t="shared" si="24"/>
        <v>5.2777777777777771E-3</v>
      </c>
      <c r="K126" s="10">
        <f t="shared" si="24"/>
        <v>5.3819444444444444E-3</v>
      </c>
      <c r="L126" s="11">
        <f t="shared" si="14"/>
        <v>5.8564814814814816E-3</v>
      </c>
      <c r="M126" s="9">
        <f t="shared" si="21"/>
        <v>5.8134002057613175E-3</v>
      </c>
      <c r="N126" s="11">
        <f t="shared" si="21"/>
        <v>5.5407664609053494E-3</v>
      </c>
      <c r="P126" s="3">
        <f t="shared" si="16"/>
        <v>122</v>
      </c>
    </row>
    <row r="127" spans="1:16" s="2" customFormat="1" x14ac:dyDescent="0.2">
      <c r="A127" s="25">
        <f t="shared" si="20"/>
        <v>2.5347222222222097E-2</v>
      </c>
      <c r="B127" s="9">
        <f t="shared" si="24"/>
        <v>1.9222608024691355E-3</v>
      </c>
      <c r="C127" s="10">
        <f t="shared" si="24"/>
        <v>2.9123263888888896E-3</v>
      </c>
      <c r="D127" s="10">
        <f t="shared" si="24"/>
        <v>3.8908179012345679E-3</v>
      </c>
      <c r="E127" s="10">
        <f t="shared" si="24"/>
        <v>4.8924575617283958E-3</v>
      </c>
      <c r="F127" s="10">
        <f t="shared" si="24"/>
        <v>5.9073591820987649E-3</v>
      </c>
      <c r="G127" s="10">
        <f t="shared" si="24"/>
        <v>7.9685088734567887E-3</v>
      </c>
      <c r="H127" s="11">
        <f t="shared" si="24"/>
        <v>1.0027970679012347E-2</v>
      </c>
      <c r="I127" s="9">
        <f t="shared" si="24"/>
        <v>5.185185185185185E-3</v>
      </c>
      <c r="J127" s="10">
        <f t="shared" si="24"/>
        <v>5.3009259259259259E-3</v>
      </c>
      <c r="K127" s="10">
        <f t="shared" si="24"/>
        <v>5.4050925925925924E-3</v>
      </c>
      <c r="L127" s="11">
        <f t="shared" si="14"/>
        <v>5.8796296296296296E-3</v>
      </c>
      <c r="M127" s="9">
        <f t="shared" si="21"/>
        <v>5.8400848765432101E-3</v>
      </c>
      <c r="N127" s="11">
        <f t="shared" si="21"/>
        <v>5.5661651234567896E-3</v>
      </c>
      <c r="P127" s="3">
        <f t="shared" si="16"/>
        <v>123</v>
      </c>
    </row>
    <row r="128" spans="1:16" s="2" customFormat="1" x14ac:dyDescent="0.2">
      <c r="A128" s="25">
        <f t="shared" si="20"/>
        <v>2.5462962962962837E-2</v>
      </c>
      <c r="B128" s="9">
        <f t="shared" si="24"/>
        <v>1.9315843621399175E-3</v>
      </c>
      <c r="C128" s="10">
        <f t="shared" si="24"/>
        <v>2.9263117283950622E-3</v>
      </c>
      <c r="D128" s="10">
        <f t="shared" si="24"/>
        <v>3.9094650205761319E-3</v>
      </c>
      <c r="E128" s="10">
        <f t="shared" si="24"/>
        <v>4.9157664609053506E-3</v>
      </c>
      <c r="F128" s="10">
        <f t="shared" si="24"/>
        <v>5.935249485596707E-3</v>
      </c>
      <c r="G128" s="10">
        <f t="shared" si="24"/>
        <v>8.0057227366255139E-3</v>
      </c>
      <c r="H128" s="11">
        <f t="shared" si="24"/>
        <v>1.0074588477366255E-2</v>
      </c>
      <c r="I128" s="9">
        <f t="shared" si="24"/>
        <v>5.2083333333333339E-3</v>
      </c>
      <c r="J128" s="10">
        <f t="shared" si="24"/>
        <v>5.324074074074074E-3</v>
      </c>
      <c r="K128" s="10">
        <f t="shared" si="24"/>
        <v>5.4282407407407404E-3</v>
      </c>
      <c r="L128" s="11">
        <f t="shared" si="14"/>
        <v>5.9027777777777776E-3</v>
      </c>
      <c r="M128" s="9">
        <f t="shared" si="21"/>
        <v>5.8667695473251028E-3</v>
      </c>
      <c r="N128" s="11">
        <f t="shared" si="21"/>
        <v>5.5915637860082298E-3</v>
      </c>
      <c r="P128" s="3">
        <f t="shared" si="16"/>
        <v>124</v>
      </c>
    </row>
    <row r="129" spans="1:16" s="2" customFormat="1" x14ac:dyDescent="0.2">
      <c r="A129" s="25">
        <f t="shared" si="20"/>
        <v>2.5578703703703576E-2</v>
      </c>
      <c r="B129" s="9">
        <f t="shared" si="24"/>
        <v>1.9409079218106993E-3</v>
      </c>
      <c r="C129" s="10">
        <f t="shared" si="24"/>
        <v>2.9402970679012356E-3</v>
      </c>
      <c r="D129" s="10">
        <f t="shared" si="24"/>
        <v>3.9281121399176956E-3</v>
      </c>
      <c r="E129" s="10">
        <f t="shared" si="24"/>
        <v>4.9390753600823054E-3</v>
      </c>
      <c r="F129" s="10">
        <f t="shared" si="24"/>
        <v>5.96313978909465E-3</v>
      </c>
      <c r="G129" s="10">
        <f t="shared" si="24"/>
        <v>8.0429365997942374E-3</v>
      </c>
      <c r="H129" s="11">
        <f t="shared" si="24"/>
        <v>1.0121206275720164E-2</v>
      </c>
      <c r="I129" s="9">
        <f t="shared" si="24"/>
        <v>5.2314814814814811E-3</v>
      </c>
      <c r="J129" s="10">
        <f t="shared" si="24"/>
        <v>5.347222222222222E-3</v>
      </c>
      <c r="K129" s="10">
        <f t="shared" si="24"/>
        <v>5.4513888888888893E-3</v>
      </c>
      <c r="L129" s="11">
        <f t="shared" si="14"/>
        <v>5.9259259259259265E-3</v>
      </c>
      <c r="M129" s="9">
        <f t="shared" si="21"/>
        <v>5.8934542181069954E-3</v>
      </c>
      <c r="N129" s="11">
        <f t="shared" si="21"/>
        <v>5.61696244855967E-3</v>
      </c>
      <c r="P129" s="3">
        <f t="shared" si="16"/>
        <v>125</v>
      </c>
    </row>
    <row r="130" spans="1:16" s="2" customFormat="1" x14ac:dyDescent="0.2">
      <c r="A130" s="25">
        <f t="shared" si="20"/>
        <v>2.5694444444444315E-2</v>
      </c>
      <c r="B130" s="9">
        <f t="shared" si="24"/>
        <v>1.9502314814814812E-3</v>
      </c>
      <c r="C130" s="10">
        <f t="shared" si="24"/>
        <v>2.9542824074074081E-3</v>
      </c>
      <c r="D130" s="10">
        <f t="shared" si="24"/>
        <v>3.9467592592592592E-3</v>
      </c>
      <c r="E130" s="10">
        <f t="shared" si="24"/>
        <v>4.9623842592592601E-3</v>
      </c>
      <c r="F130" s="10">
        <f t="shared" si="24"/>
        <v>5.9910300925925921E-3</v>
      </c>
      <c r="G130" s="10">
        <f t="shared" si="24"/>
        <v>8.0801504629629609E-3</v>
      </c>
      <c r="H130" s="11">
        <f t="shared" si="24"/>
        <v>1.0167824074074074E-2</v>
      </c>
      <c r="I130" s="9">
        <f t="shared" si="24"/>
        <v>5.2546296296296299E-3</v>
      </c>
      <c r="J130" s="10">
        <f t="shared" si="24"/>
        <v>5.37037037037037E-3</v>
      </c>
      <c r="K130" s="10">
        <f t="shared" si="24"/>
        <v>5.4745370370370364E-3</v>
      </c>
      <c r="L130" s="11">
        <f t="shared" si="14"/>
        <v>5.9490740740740736E-3</v>
      </c>
      <c r="M130" s="9">
        <f t="shared" si="21"/>
        <v>5.9201388888888888E-3</v>
      </c>
      <c r="N130" s="11">
        <f t="shared" si="21"/>
        <v>5.6423611111111101E-3</v>
      </c>
      <c r="P130" s="3">
        <f t="shared" si="16"/>
        <v>126</v>
      </c>
    </row>
    <row r="131" spans="1:16" s="2" customFormat="1" x14ac:dyDescent="0.2">
      <c r="A131" s="25">
        <f t="shared" si="20"/>
        <v>2.5810185185185054E-2</v>
      </c>
      <c r="B131" s="9">
        <f t="shared" si="24"/>
        <v>1.959555041152263E-3</v>
      </c>
      <c r="C131" s="10">
        <f t="shared" si="24"/>
        <v>2.9682677469135806E-3</v>
      </c>
      <c r="D131" s="10">
        <f t="shared" si="24"/>
        <v>3.9654063786008237E-3</v>
      </c>
      <c r="E131" s="10">
        <f t="shared" si="24"/>
        <v>4.9856931584362149E-3</v>
      </c>
      <c r="F131" s="10">
        <f t="shared" si="24"/>
        <v>6.0189203960905342E-3</v>
      </c>
      <c r="G131" s="10">
        <f t="shared" si="24"/>
        <v>8.1173643261316861E-3</v>
      </c>
      <c r="H131" s="11">
        <f t="shared" si="24"/>
        <v>1.0214441872427983E-2</v>
      </c>
      <c r="I131" s="9">
        <f t="shared" si="24"/>
        <v>5.2777777777777779E-3</v>
      </c>
      <c r="J131" s="10">
        <f t="shared" si="24"/>
        <v>5.393518518518518E-3</v>
      </c>
      <c r="K131" s="10">
        <f t="shared" si="24"/>
        <v>5.4976851851851853E-3</v>
      </c>
      <c r="L131" s="11">
        <f t="shared" si="14"/>
        <v>5.9722222222222225E-3</v>
      </c>
      <c r="M131" s="9">
        <f t="shared" si="21"/>
        <v>5.9468235596707823E-3</v>
      </c>
      <c r="N131" s="11">
        <f t="shared" si="21"/>
        <v>5.6677597736625503E-3</v>
      </c>
      <c r="P131" s="3">
        <f t="shared" si="16"/>
        <v>127</v>
      </c>
    </row>
    <row r="132" spans="1:16" s="2" customFormat="1" x14ac:dyDescent="0.2">
      <c r="A132" s="25">
        <f t="shared" si="20"/>
        <v>2.5925925925925793E-2</v>
      </c>
      <c r="B132" s="9">
        <f t="shared" si="24"/>
        <v>1.9688786008230453E-3</v>
      </c>
      <c r="C132" s="10">
        <f t="shared" si="24"/>
        <v>2.982253086419754E-3</v>
      </c>
      <c r="D132" s="10">
        <f t="shared" si="24"/>
        <v>3.9840534979423865E-3</v>
      </c>
      <c r="E132" s="10">
        <f t="shared" si="24"/>
        <v>5.0090020576131697E-3</v>
      </c>
      <c r="F132" s="10">
        <f t="shared" si="24"/>
        <v>6.0468106995884771E-3</v>
      </c>
      <c r="G132" s="10">
        <f t="shared" si="24"/>
        <v>8.1545781893004113E-3</v>
      </c>
      <c r="H132" s="11">
        <f t="shared" si="24"/>
        <v>1.0261059670781893E-2</v>
      </c>
      <c r="I132" s="9">
        <f t="shared" si="24"/>
        <v>5.3009259259259259E-3</v>
      </c>
      <c r="J132" s="10">
        <f t="shared" si="24"/>
        <v>5.4166666666666669E-3</v>
      </c>
      <c r="K132" s="10">
        <f t="shared" si="24"/>
        <v>5.5208333333333333E-3</v>
      </c>
      <c r="L132" s="11">
        <f t="shared" si="14"/>
        <v>5.9953703703703705E-3</v>
      </c>
      <c r="M132" s="9">
        <f t="shared" si="21"/>
        <v>5.9735082304526749E-3</v>
      </c>
      <c r="N132" s="11">
        <f t="shared" si="21"/>
        <v>5.6931584362139905E-3</v>
      </c>
      <c r="P132" s="3">
        <f t="shared" si="16"/>
        <v>128</v>
      </c>
    </row>
    <row r="133" spans="1:16" s="2" customFormat="1" x14ac:dyDescent="0.2">
      <c r="A133" s="25">
        <f t="shared" ref="A133:A148" si="25">A132+$A$3</f>
        <v>2.6041666666666533E-2</v>
      </c>
      <c r="B133" s="9">
        <f t="shared" si="24"/>
        <v>1.9782021604938266E-3</v>
      </c>
      <c r="C133" s="10">
        <f t="shared" si="24"/>
        <v>2.9962384259259265E-3</v>
      </c>
      <c r="D133" s="10">
        <f t="shared" si="24"/>
        <v>4.002700617283951E-3</v>
      </c>
      <c r="E133" s="10">
        <f t="shared" si="24"/>
        <v>5.0323109567901245E-3</v>
      </c>
      <c r="F133" s="10">
        <f t="shared" si="24"/>
        <v>6.0747010030864192E-3</v>
      </c>
      <c r="G133" s="10">
        <f t="shared" si="24"/>
        <v>8.1917920524691348E-3</v>
      </c>
      <c r="H133" s="11">
        <f t="shared" si="24"/>
        <v>1.0307677469135803E-2</v>
      </c>
      <c r="I133" s="9">
        <f t="shared" si="24"/>
        <v>5.324074074074074E-3</v>
      </c>
      <c r="J133" s="10">
        <f t="shared" si="24"/>
        <v>5.439814814814814E-3</v>
      </c>
      <c r="K133" s="10">
        <f t="shared" si="24"/>
        <v>5.5439814814814813E-3</v>
      </c>
      <c r="L133" s="11">
        <f t="shared" ref="L133:L148" si="26">K133+41/86400</f>
        <v>6.0185185185185185E-3</v>
      </c>
      <c r="M133" s="9">
        <f t="shared" si="21"/>
        <v>6.0001929012345676E-3</v>
      </c>
      <c r="N133" s="11">
        <f t="shared" si="21"/>
        <v>5.7185570987654307E-3</v>
      </c>
      <c r="P133" s="3">
        <f t="shared" si="16"/>
        <v>129</v>
      </c>
    </row>
    <row r="134" spans="1:16" s="2" customFormat="1" x14ac:dyDescent="0.2">
      <c r="A134" s="25">
        <f t="shared" si="25"/>
        <v>2.6157407407407272E-2</v>
      </c>
      <c r="B134" s="9">
        <f t="shared" si="24"/>
        <v>1.9875257201646089E-3</v>
      </c>
      <c r="C134" s="10">
        <f t="shared" si="24"/>
        <v>3.0102237654320995E-3</v>
      </c>
      <c r="D134" s="10">
        <f t="shared" si="24"/>
        <v>4.0213477366255147E-3</v>
      </c>
      <c r="E134" s="10">
        <f t="shared" si="24"/>
        <v>5.0556198559670792E-3</v>
      </c>
      <c r="F134" s="10">
        <f t="shared" si="24"/>
        <v>6.1025913065843613E-3</v>
      </c>
      <c r="G134" s="10">
        <f t="shared" si="24"/>
        <v>8.2290059156378582E-3</v>
      </c>
      <c r="H134" s="11">
        <f t="shared" si="24"/>
        <v>1.0354295267489712E-2</v>
      </c>
      <c r="I134" s="9">
        <f t="shared" si="24"/>
        <v>5.347222222222222E-3</v>
      </c>
      <c r="J134" s="10">
        <f t="shared" si="24"/>
        <v>5.4629629629629629E-3</v>
      </c>
      <c r="K134" s="10">
        <f t="shared" si="24"/>
        <v>5.5671296296296302E-3</v>
      </c>
      <c r="L134" s="11">
        <f t="shared" si="26"/>
        <v>6.0416666666666674E-3</v>
      </c>
      <c r="M134" s="9">
        <f t="shared" si="21"/>
        <v>6.026877572016461E-3</v>
      </c>
      <c r="N134" s="11">
        <f t="shared" si="21"/>
        <v>5.7439557613168718E-3</v>
      </c>
      <c r="P134" s="3">
        <f t="shared" ref="P134:P148" si="27">P133+1</f>
        <v>130</v>
      </c>
    </row>
    <row r="135" spans="1:16" s="2" customFormat="1" x14ac:dyDescent="0.2">
      <c r="A135" s="25">
        <f t="shared" si="25"/>
        <v>2.6273148148148011E-2</v>
      </c>
      <c r="B135" s="9">
        <f t="shared" ref="B135:K148" si="28">B$4+$P135*B$3</f>
        <v>1.9968492798353907E-3</v>
      </c>
      <c r="C135" s="10">
        <f t="shared" si="28"/>
        <v>3.0242091049382724E-3</v>
      </c>
      <c r="D135" s="10">
        <f t="shared" si="28"/>
        <v>4.0399948559670783E-3</v>
      </c>
      <c r="E135" s="10">
        <f t="shared" si="28"/>
        <v>5.078928755144034E-3</v>
      </c>
      <c r="F135" s="10">
        <f t="shared" si="28"/>
        <v>6.1304816100823042E-3</v>
      </c>
      <c r="G135" s="10">
        <f t="shared" si="28"/>
        <v>8.2662197788065835E-3</v>
      </c>
      <c r="H135" s="11">
        <f t="shared" si="28"/>
        <v>1.0400913065843622E-2</v>
      </c>
      <c r="I135" s="9">
        <f t="shared" si="28"/>
        <v>5.3703703703703708E-3</v>
      </c>
      <c r="J135" s="10">
        <f t="shared" si="28"/>
        <v>5.4861111111111109E-3</v>
      </c>
      <c r="K135" s="10">
        <f t="shared" si="28"/>
        <v>5.5902777777777773E-3</v>
      </c>
      <c r="L135" s="11">
        <f t="shared" si="26"/>
        <v>6.0648148148148145E-3</v>
      </c>
      <c r="M135" s="9">
        <f t="shared" si="21"/>
        <v>6.0535622427983545E-3</v>
      </c>
      <c r="N135" s="11">
        <f t="shared" si="21"/>
        <v>5.769354423868312E-3</v>
      </c>
      <c r="P135" s="3">
        <f t="shared" si="27"/>
        <v>131</v>
      </c>
    </row>
    <row r="136" spans="1:16" s="2" customFormat="1" x14ac:dyDescent="0.2">
      <c r="A136" s="25">
        <f t="shared" si="25"/>
        <v>2.638888888888875E-2</v>
      </c>
      <c r="B136" s="9">
        <f t="shared" si="28"/>
        <v>2.0061728395061726E-3</v>
      </c>
      <c r="C136" s="10">
        <f t="shared" si="28"/>
        <v>3.0381944444444449E-3</v>
      </c>
      <c r="D136" s="10">
        <f t="shared" si="28"/>
        <v>4.058641975308642E-3</v>
      </c>
      <c r="E136" s="10">
        <f t="shared" si="28"/>
        <v>5.1022376543209888E-3</v>
      </c>
      <c r="F136" s="10">
        <f t="shared" si="28"/>
        <v>6.1583719135802463E-3</v>
      </c>
      <c r="G136" s="10">
        <f t="shared" si="28"/>
        <v>8.3034336419753087E-3</v>
      </c>
      <c r="H136" s="11">
        <f t="shared" si="28"/>
        <v>1.0447530864197531E-2</v>
      </c>
      <c r="I136" s="9">
        <f t="shared" si="28"/>
        <v>5.393518518518518E-3</v>
      </c>
      <c r="J136" s="10">
        <f t="shared" si="28"/>
        <v>5.5092592592592589E-3</v>
      </c>
      <c r="K136" s="10">
        <f t="shared" si="28"/>
        <v>5.6134259259259262E-3</v>
      </c>
      <c r="L136" s="11">
        <f t="shared" si="26"/>
        <v>6.0879629629629634E-3</v>
      </c>
      <c r="M136" s="9">
        <f t="shared" si="21"/>
        <v>6.0802469135802471E-3</v>
      </c>
      <c r="N136" s="11">
        <f t="shared" si="21"/>
        <v>5.7947530864197521E-3</v>
      </c>
      <c r="P136" s="3">
        <f t="shared" si="27"/>
        <v>132</v>
      </c>
    </row>
    <row r="137" spans="1:16" s="2" customFormat="1" x14ac:dyDescent="0.2">
      <c r="A137" s="25">
        <f t="shared" si="25"/>
        <v>2.6504629629629489E-2</v>
      </c>
      <c r="B137" s="9">
        <f t="shared" si="28"/>
        <v>2.0154963991769548E-3</v>
      </c>
      <c r="C137" s="10">
        <f t="shared" si="28"/>
        <v>3.0521797839506183E-3</v>
      </c>
      <c r="D137" s="10">
        <f t="shared" si="28"/>
        <v>4.0772890946502056E-3</v>
      </c>
      <c r="E137" s="10">
        <f t="shared" si="28"/>
        <v>5.1255465534979436E-3</v>
      </c>
      <c r="F137" s="10">
        <f t="shared" si="28"/>
        <v>6.1862622170781884E-3</v>
      </c>
      <c r="G137" s="10">
        <f t="shared" si="28"/>
        <v>8.3406475051440322E-3</v>
      </c>
      <c r="H137" s="11">
        <f t="shared" si="28"/>
        <v>1.0494148662551439E-2</v>
      </c>
      <c r="I137" s="9">
        <f t="shared" si="28"/>
        <v>5.4166666666666669E-3</v>
      </c>
      <c r="J137" s="10">
        <f t="shared" si="28"/>
        <v>5.5324074074074078E-3</v>
      </c>
      <c r="K137" s="10">
        <f t="shared" si="28"/>
        <v>5.6365740740740742E-3</v>
      </c>
      <c r="L137" s="11">
        <f t="shared" si="26"/>
        <v>6.1111111111111114E-3</v>
      </c>
      <c r="M137" s="9">
        <f t="shared" si="21"/>
        <v>6.1069315843621397E-3</v>
      </c>
      <c r="N137" s="11">
        <f t="shared" si="21"/>
        <v>5.8201517489711932E-3</v>
      </c>
      <c r="P137" s="3">
        <f t="shared" si="27"/>
        <v>133</v>
      </c>
    </row>
    <row r="138" spans="1:16" s="2" customFormat="1" x14ac:dyDescent="0.2">
      <c r="A138" s="25">
        <f t="shared" si="25"/>
        <v>2.6620370370370228E-2</v>
      </c>
      <c r="B138" s="9">
        <f t="shared" si="28"/>
        <v>2.0248199588477362E-3</v>
      </c>
      <c r="C138" s="10">
        <f t="shared" si="28"/>
        <v>3.0661651234567908E-3</v>
      </c>
      <c r="D138" s="10">
        <f t="shared" si="28"/>
        <v>4.0959362139917702E-3</v>
      </c>
      <c r="E138" s="10">
        <f t="shared" si="28"/>
        <v>5.1488554526748975E-3</v>
      </c>
      <c r="F138" s="10">
        <f t="shared" si="28"/>
        <v>6.2141525205761314E-3</v>
      </c>
      <c r="G138" s="10">
        <f t="shared" si="28"/>
        <v>8.3778613683127556E-3</v>
      </c>
      <c r="H138" s="11">
        <f t="shared" si="28"/>
        <v>1.0540766460905349E-2</v>
      </c>
      <c r="I138" s="9">
        <f t="shared" si="28"/>
        <v>5.4398148148148149E-3</v>
      </c>
      <c r="J138" s="10">
        <f t="shared" si="28"/>
        <v>5.5555555555555549E-3</v>
      </c>
      <c r="K138" s="10">
        <f t="shared" si="28"/>
        <v>5.6597222222222222E-3</v>
      </c>
      <c r="L138" s="11">
        <f t="shared" si="26"/>
        <v>6.1342592592592594E-3</v>
      </c>
      <c r="M138" s="9">
        <f t="shared" si="21"/>
        <v>6.1336162551440324E-3</v>
      </c>
      <c r="N138" s="11">
        <f t="shared" si="21"/>
        <v>5.8455504115226334E-3</v>
      </c>
      <c r="P138" s="3">
        <f t="shared" si="27"/>
        <v>134</v>
      </c>
    </row>
    <row r="139" spans="1:16" s="2" customFormat="1" x14ac:dyDescent="0.2">
      <c r="A139" s="25">
        <f t="shared" si="25"/>
        <v>2.6736111111110968E-2</v>
      </c>
      <c r="B139" s="9">
        <f t="shared" si="28"/>
        <v>2.0341435185185185E-3</v>
      </c>
      <c r="C139" s="10">
        <f t="shared" si="28"/>
        <v>3.0801504629629634E-3</v>
      </c>
      <c r="D139" s="10">
        <f t="shared" si="28"/>
        <v>4.1145833333333329E-3</v>
      </c>
      <c r="E139" s="10">
        <f t="shared" si="28"/>
        <v>5.1721643518518523E-3</v>
      </c>
      <c r="F139" s="10">
        <f t="shared" si="28"/>
        <v>6.2420428240740735E-3</v>
      </c>
      <c r="G139" s="10">
        <f t="shared" si="28"/>
        <v>8.4150752314814808E-3</v>
      </c>
      <c r="H139" s="11">
        <f t="shared" si="28"/>
        <v>1.0587384259259258E-2</v>
      </c>
      <c r="I139" s="9">
        <f t="shared" si="28"/>
        <v>5.4629629629629629E-3</v>
      </c>
      <c r="J139" s="10">
        <f t="shared" si="28"/>
        <v>5.5787037037037038E-3</v>
      </c>
      <c r="K139" s="10">
        <f t="shared" si="28"/>
        <v>5.6828703703703702E-3</v>
      </c>
      <c r="L139" s="11">
        <f t="shared" si="26"/>
        <v>6.1574074074074074E-3</v>
      </c>
      <c r="M139" s="9">
        <f t="shared" si="21"/>
        <v>6.1603009259259258E-3</v>
      </c>
      <c r="N139" s="11">
        <f t="shared" si="21"/>
        <v>5.8709490740740736E-3</v>
      </c>
      <c r="P139" s="3">
        <f t="shared" si="27"/>
        <v>135</v>
      </c>
    </row>
    <row r="140" spans="1:16" s="2" customFormat="1" x14ac:dyDescent="0.2">
      <c r="A140" s="25">
        <f t="shared" si="25"/>
        <v>2.6851851851851707E-2</v>
      </c>
      <c r="B140" s="9">
        <f t="shared" si="28"/>
        <v>2.0434670781892999E-3</v>
      </c>
      <c r="C140" s="10">
        <f t="shared" si="28"/>
        <v>3.0941358024691367E-3</v>
      </c>
      <c r="D140" s="10">
        <f t="shared" si="28"/>
        <v>4.1332304526748975E-3</v>
      </c>
      <c r="E140" s="10">
        <f t="shared" si="28"/>
        <v>5.195473251028807E-3</v>
      </c>
      <c r="F140" s="10">
        <f t="shared" si="28"/>
        <v>6.2699331275720156E-3</v>
      </c>
      <c r="G140" s="10">
        <f t="shared" si="28"/>
        <v>8.4522890946502043E-3</v>
      </c>
      <c r="H140" s="11">
        <f t="shared" si="28"/>
        <v>1.0634002057613168E-2</v>
      </c>
      <c r="I140" s="9">
        <f t="shared" si="28"/>
        <v>5.4861111111111117E-3</v>
      </c>
      <c r="J140" s="10">
        <f t="shared" si="28"/>
        <v>5.6018518518518518E-3</v>
      </c>
      <c r="K140" s="10">
        <f t="shared" si="28"/>
        <v>5.7060185185185183E-3</v>
      </c>
      <c r="L140" s="11">
        <f t="shared" si="26"/>
        <v>6.1805555555555555E-3</v>
      </c>
      <c r="M140" s="9">
        <f t="shared" si="21"/>
        <v>6.1869855967078193E-3</v>
      </c>
      <c r="N140" s="11">
        <f t="shared" si="21"/>
        <v>5.8963477366255138E-3</v>
      </c>
      <c r="P140" s="3">
        <f t="shared" si="27"/>
        <v>136</v>
      </c>
    </row>
    <row r="141" spans="1:16" s="2" customFormat="1" x14ac:dyDescent="0.2">
      <c r="A141" s="25">
        <f t="shared" si="25"/>
        <v>2.6967592592592446E-2</v>
      </c>
      <c r="B141" s="9">
        <f t="shared" si="28"/>
        <v>2.0527906378600821E-3</v>
      </c>
      <c r="C141" s="10">
        <f t="shared" si="28"/>
        <v>3.1081211419753093E-3</v>
      </c>
      <c r="D141" s="10">
        <f t="shared" si="28"/>
        <v>4.1518775720164611E-3</v>
      </c>
      <c r="E141" s="10">
        <f t="shared" si="28"/>
        <v>5.2187821502057618E-3</v>
      </c>
      <c r="F141" s="10">
        <f t="shared" si="28"/>
        <v>6.2978234310699585E-3</v>
      </c>
      <c r="G141" s="10">
        <f t="shared" si="28"/>
        <v>8.4895029578189278E-3</v>
      </c>
      <c r="H141" s="11">
        <f t="shared" si="28"/>
        <v>1.0680619855967077E-2</v>
      </c>
      <c r="I141" s="9">
        <f t="shared" si="28"/>
        <v>5.5092592592592589E-3</v>
      </c>
      <c r="J141" s="10">
        <f t="shared" si="28"/>
        <v>5.6249999999999998E-3</v>
      </c>
      <c r="K141" s="10">
        <f t="shared" si="28"/>
        <v>5.7291666666666671E-3</v>
      </c>
      <c r="L141" s="11">
        <f t="shared" si="26"/>
        <v>6.2037037037037043E-3</v>
      </c>
      <c r="M141" s="9">
        <f t="shared" si="21"/>
        <v>6.2136702674897119E-3</v>
      </c>
      <c r="N141" s="11">
        <f t="shared" si="21"/>
        <v>5.9217463991769539E-3</v>
      </c>
      <c r="P141" s="3">
        <f t="shared" si="27"/>
        <v>137</v>
      </c>
    </row>
    <row r="142" spans="1:16" s="2" customFormat="1" x14ac:dyDescent="0.2">
      <c r="A142" s="25">
        <f t="shared" si="25"/>
        <v>2.7083333333333185E-2</v>
      </c>
      <c r="B142" s="9">
        <f t="shared" si="28"/>
        <v>2.0621141975308639E-3</v>
      </c>
      <c r="C142" s="10">
        <f t="shared" si="28"/>
        <v>3.1221064814814822E-3</v>
      </c>
      <c r="D142" s="10">
        <f t="shared" si="28"/>
        <v>4.1705246913580248E-3</v>
      </c>
      <c r="E142" s="10">
        <f t="shared" si="28"/>
        <v>5.2420910493827166E-3</v>
      </c>
      <c r="F142" s="10">
        <f t="shared" si="28"/>
        <v>6.3257137345679006E-3</v>
      </c>
      <c r="G142" s="10">
        <f t="shared" si="28"/>
        <v>8.526716820987653E-3</v>
      </c>
      <c r="H142" s="11">
        <f t="shared" si="28"/>
        <v>1.0727237654320987E-2</v>
      </c>
      <c r="I142" s="9">
        <f t="shared" si="28"/>
        <v>5.5324074074074078E-3</v>
      </c>
      <c r="J142" s="10">
        <f t="shared" si="28"/>
        <v>5.6481481481481478E-3</v>
      </c>
      <c r="K142" s="10">
        <f t="shared" si="28"/>
        <v>5.7523148148148143E-3</v>
      </c>
      <c r="L142" s="11">
        <f t="shared" si="26"/>
        <v>6.2268518518518515E-3</v>
      </c>
      <c r="M142" s="9">
        <f t="shared" si="21"/>
        <v>6.2403549382716045E-3</v>
      </c>
      <c r="N142" s="11">
        <f t="shared" si="21"/>
        <v>5.9471450617283941E-3</v>
      </c>
      <c r="P142" s="3">
        <f t="shared" si="27"/>
        <v>138</v>
      </c>
    </row>
    <row r="143" spans="1:16" x14ac:dyDescent="0.2">
      <c r="A143" s="25">
        <f t="shared" si="25"/>
        <v>2.7199074074073924E-2</v>
      </c>
      <c r="B143" s="9">
        <f t="shared" si="28"/>
        <v>2.0714377572016458E-3</v>
      </c>
      <c r="C143" s="10">
        <f t="shared" si="28"/>
        <v>3.1360918209876552E-3</v>
      </c>
      <c r="D143" s="10">
        <f t="shared" si="28"/>
        <v>4.1891718106995893E-3</v>
      </c>
      <c r="E143" s="10">
        <f t="shared" si="28"/>
        <v>5.2653999485596714E-3</v>
      </c>
      <c r="F143" s="10">
        <f t="shared" si="28"/>
        <v>6.3536040380658427E-3</v>
      </c>
      <c r="G143" s="10">
        <f t="shared" si="28"/>
        <v>8.5639306841563782E-3</v>
      </c>
      <c r="H143" s="11">
        <f t="shared" si="28"/>
        <v>1.0773855452674896E-2</v>
      </c>
      <c r="I143" s="9">
        <f t="shared" si="28"/>
        <v>5.5555555555555558E-3</v>
      </c>
      <c r="J143" s="10">
        <f t="shared" si="28"/>
        <v>5.6712962962962958E-3</v>
      </c>
      <c r="K143" s="10">
        <f t="shared" si="28"/>
        <v>5.7754629629629631E-3</v>
      </c>
      <c r="L143" s="11">
        <f t="shared" si="26"/>
        <v>6.2500000000000003E-3</v>
      </c>
      <c r="M143" s="9">
        <f t="shared" si="21"/>
        <v>6.267039609053498E-3</v>
      </c>
      <c r="N143" s="11">
        <f t="shared" si="21"/>
        <v>5.9725437242798343E-3</v>
      </c>
      <c r="P143" s="3">
        <f t="shared" si="27"/>
        <v>139</v>
      </c>
    </row>
    <row r="144" spans="1:16" x14ac:dyDescent="0.2">
      <c r="A144" s="25">
        <f t="shared" si="25"/>
        <v>2.7314814814814663E-2</v>
      </c>
      <c r="B144" s="9">
        <f t="shared" si="28"/>
        <v>2.080761316872428E-3</v>
      </c>
      <c r="C144" s="10">
        <f t="shared" si="28"/>
        <v>3.1500771604938277E-3</v>
      </c>
      <c r="D144" s="10">
        <f t="shared" si="28"/>
        <v>4.2078189300411521E-3</v>
      </c>
      <c r="E144" s="10">
        <f t="shared" si="28"/>
        <v>5.2887088477366262E-3</v>
      </c>
      <c r="F144" s="10">
        <f t="shared" si="28"/>
        <v>6.3814943415637856E-3</v>
      </c>
      <c r="G144" s="10">
        <f t="shared" si="28"/>
        <v>8.6011445473251017E-3</v>
      </c>
      <c r="H144" s="11">
        <f t="shared" si="28"/>
        <v>1.0820473251028806E-2</v>
      </c>
      <c r="I144" s="9">
        <f t="shared" si="28"/>
        <v>5.5787037037037038E-3</v>
      </c>
      <c r="J144" s="10">
        <f t="shared" si="28"/>
        <v>5.6944444444444447E-3</v>
      </c>
      <c r="K144" s="10">
        <f t="shared" si="28"/>
        <v>5.7986111111111112E-3</v>
      </c>
      <c r="L144" s="11">
        <f t="shared" si="26"/>
        <v>6.2731481481481484E-3</v>
      </c>
      <c r="M144" s="9">
        <f t="shared" si="21"/>
        <v>6.2937242798353915E-3</v>
      </c>
      <c r="N144" s="11">
        <f t="shared" si="21"/>
        <v>5.9979423868312745E-3</v>
      </c>
      <c r="P144" s="3">
        <f t="shared" si="27"/>
        <v>140</v>
      </c>
    </row>
    <row r="145" spans="1:16" x14ac:dyDescent="0.2">
      <c r="A145" s="25">
        <f t="shared" si="25"/>
        <v>2.7430555555555403E-2</v>
      </c>
      <c r="B145" s="9">
        <f t="shared" si="28"/>
        <v>2.0900848765432094E-3</v>
      </c>
      <c r="C145" s="10">
        <f t="shared" si="28"/>
        <v>3.1640625000000011E-3</v>
      </c>
      <c r="D145" s="10">
        <f t="shared" si="28"/>
        <v>4.2264660493827166E-3</v>
      </c>
      <c r="E145" s="10">
        <f t="shared" si="28"/>
        <v>5.3120177469135809E-3</v>
      </c>
      <c r="F145" s="10">
        <f t="shared" si="28"/>
        <v>6.4093846450617277E-3</v>
      </c>
      <c r="G145" s="10">
        <f t="shared" si="28"/>
        <v>8.6383584104938252E-3</v>
      </c>
      <c r="H145" s="11">
        <f t="shared" si="28"/>
        <v>1.0867091049382716E-2</v>
      </c>
      <c r="I145" s="9">
        <f t="shared" si="28"/>
        <v>5.6018518518518518E-3</v>
      </c>
      <c r="J145" s="10">
        <f t="shared" si="28"/>
        <v>5.7175925925925918E-3</v>
      </c>
      <c r="K145" s="10">
        <f t="shared" si="28"/>
        <v>5.8217592592592592E-3</v>
      </c>
      <c r="L145" s="11">
        <f t="shared" si="26"/>
        <v>6.2962962962962964E-3</v>
      </c>
      <c r="M145" s="9">
        <f t="shared" si="21"/>
        <v>6.3204089506172841E-3</v>
      </c>
      <c r="N145" s="11">
        <f t="shared" si="21"/>
        <v>6.0233410493827147E-3</v>
      </c>
      <c r="P145" s="3">
        <f t="shared" si="27"/>
        <v>141</v>
      </c>
    </row>
    <row r="146" spans="1:16" x14ac:dyDescent="0.2">
      <c r="A146" s="25">
        <f t="shared" si="25"/>
        <v>2.7546296296296142E-2</v>
      </c>
      <c r="B146" s="9">
        <f t="shared" si="28"/>
        <v>2.0994084362139917E-3</v>
      </c>
      <c r="C146" s="10">
        <f t="shared" si="28"/>
        <v>3.1780478395061736E-3</v>
      </c>
      <c r="D146" s="10">
        <f t="shared" si="28"/>
        <v>4.2451131687242794E-3</v>
      </c>
      <c r="E146" s="10">
        <f t="shared" si="28"/>
        <v>5.3353266460905357E-3</v>
      </c>
      <c r="F146" s="10">
        <f t="shared" si="28"/>
        <v>6.4372749485596698E-3</v>
      </c>
      <c r="G146" s="10">
        <f t="shared" si="28"/>
        <v>8.6755722736625504E-3</v>
      </c>
      <c r="H146" s="11">
        <f t="shared" si="28"/>
        <v>1.0913708847736625E-2</v>
      </c>
      <c r="I146" s="9">
        <f t="shared" si="28"/>
        <v>5.6249999999999998E-3</v>
      </c>
      <c r="J146" s="10">
        <f t="shared" si="28"/>
        <v>5.7407407407407407E-3</v>
      </c>
      <c r="K146" s="10">
        <f t="shared" si="28"/>
        <v>5.8449074074074072E-3</v>
      </c>
      <c r="L146" s="11">
        <f t="shared" si="26"/>
        <v>6.3194444444444444E-3</v>
      </c>
      <c r="M146" s="9">
        <f t="shared" si="21"/>
        <v>6.3470936213991767E-3</v>
      </c>
      <c r="N146" s="11">
        <f t="shared" si="21"/>
        <v>6.0487397119341549E-3</v>
      </c>
      <c r="P146" s="3">
        <f t="shared" si="27"/>
        <v>142</v>
      </c>
    </row>
    <row r="147" spans="1:16" x14ac:dyDescent="0.2">
      <c r="A147" s="25">
        <f t="shared" si="25"/>
        <v>2.7662037037036881E-2</v>
      </c>
      <c r="B147" s="9">
        <f t="shared" si="28"/>
        <v>2.1087319958847735E-3</v>
      </c>
      <c r="C147" s="10">
        <f t="shared" si="28"/>
        <v>3.1920331790123461E-3</v>
      </c>
      <c r="D147" s="10">
        <f t="shared" si="28"/>
        <v>4.2637602880658439E-3</v>
      </c>
      <c r="E147" s="10">
        <f t="shared" si="28"/>
        <v>5.3586355452674905E-3</v>
      </c>
      <c r="F147" s="10">
        <f t="shared" si="28"/>
        <v>6.4651652520576128E-3</v>
      </c>
      <c r="G147" s="10">
        <f t="shared" si="28"/>
        <v>8.7127861368312756E-3</v>
      </c>
      <c r="H147" s="11">
        <f t="shared" si="28"/>
        <v>1.0960326646090535E-2</v>
      </c>
      <c r="I147" s="9">
        <f t="shared" si="28"/>
        <v>5.6481481481481487E-3</v>
      </c>
      <c r="J147" s="10">
        <f t="shared" si="28"/>
        <v>5.7638888888888887E-3</v>
      </c>
      <c r="K147" s="10">
        <f t="shared" si="28"/>
        <v>5.8680555555555552E-3</v>
      </c>
      <c r="L147" s="11">
        <f t="shared" si="26"/>
        <v>6.3425925925925924E-3</v>
      </c>
      <c r="M147" s="9">
        <f t="shared" si="21"/>
        <v>6.3737782921810694E-3</v>
      </c>
      <c r="N147" s="11">
        <f t="shared" si="21"/>
        <v>6.0741383744855959E-3</v>
      </c>
      <c r="P147" s="3">
        <f t="shared" si="27"/>
        <v>143</v>
      </c>
    </row>
    <row r="148" spans="1:16" ht="16" thickBot="1" x14ac:dyDescent="0.25">
      <c r="A148" s="26">
        <f t="shared" si="25"/>
        <v>2.777777777777762E-2</v>
      </c>
      <c r="B148" s="12">
        <f t="shared" si="28"/>
        <v>2.1180555555555553E-3</v>
      </c>
      <c r="C148" s="13">
        <f t="shared" si="28"/>
        <v>3.2060185185185195E-3</v>
      </c>
      <c r="D148" s="13">
        <f t="shared" si="28"/>
        <v>4.2824074074074075E-3</v>
      </c>
      <c r="E148" s="13">
        <f t="shared" si="28"/>
        <v>5.3819444444444444E-3</v>
      </c>
      <c r="F148" s="13">
        <f t="shared" si="28"/>
        <v>6.4930555555555549E-3</v>
      </c>
      <c r="G148" s="13">
        <f t="shared" si="28"/>
        <v>8.7499999999999991E-3</v>
      </c>
      <c r="H148" s="14">
        <f t="shared" si="28"/>
        <v>1.1006944444444444E-2</v>
      </c>
      <c r="I148" s="12">
        <f t="shared" si="28"/>
        <v>5.6712962962962958E-3</v>
      </c>
      <c r="J148" s="13">
        <f t="shared" si="28"/>
        <v>5.7870370370370367E-3</v>
      </c>
      <c r="K148" s="13">
        <f t="shared" si="28"/>
        <v>5.8912037037037041E-3</v>
      </c>
      <c r="L148" s="14">
        <f t="shared" si="26"/>
        <v>6.3657407407407413E-3</v>
      </c>
      <c r="M148" s="12">
        <f t="shared" si="21"/>
        <v>6.4004629629629628E-3</v>
      </c>
      <c r="N148" s="14">
        <f t="shared" si="21"/>
        <v>6.0995370370370361E-3</v>
      </c>
      <c r="P148" s="3">
        <f t="shared" si="27"/>
        <v>144</v>
      </c>
    </row>
    <row r="149" spans="1:16" ht="16" thickTop="1" x14ac:dyDescent="0.2">
      <c r="I149" s="4"/>
      <c r="J149" s="4"/>
      <c r="K149" s="4"/>
      <c r="L149" s="4"/>
    </row>
    <row r="150" spans="1:16" x14ac:dyDescent="0.2">
      <c r="A150" s="23">
        <f>PLANFIRST!L13</f>
        <v>1.4699074074074074E-2</v>
      </c>
      <c r="B150" s="24">
        <v>2</v>
      </c>
      <c r="C150" s="24">
        <f>B150+1</f>
        <v>3</v>
      </c>
      <c r="D150" s="24">
        <f t="shared" ref="D150:I150" si="29">C150+1</f>
        <v>4</v>
      </c>
      <c r="E150" s="24">
        <f t="shared" si="29"/>
        <v>5</v>
      </c>
      <c r="F150" s="24">
        <f t="shared" si="29"/>
        <v>6</v>
      </c>
      <c r="G150" s="24">
        <f t="shared" si="29"/>
        <v>7</v>
      </c>
      <c r="H150" s="24">
        <f t="shared" si="29"/>
        <v>8</v>
      </c>
      <c r="I150" s="24">
        <f t="shared" si="29"/>
        <v>9</v>
      </c>
      <c r="J150" s="24">
        <f t="shared" ref="J150" si="30">I150+1</f>
        <v>10</v>
      </c>
      <c r="K150" s="24">
        <f t="shared" ref="K150" si="31">J150+1</f>
        <v>11</v>
      </c>
      <c r="L150" s="24">
        <f t="shared" ref="L150" si="32">K150+1</f>
        <v>12</v>
      </c>
      <c r="M150" s="24">
        <f t="shared" ref="M150" si="33">L150+1</f>
        <v>13</v>
      </c>
      <c r="N150" s="24">
        <f t="shared" ref="N150" si="34">M150+1</f>
        <v>14</v>
      </c>
    </row>
    <row r="151" spans="1:16" x14ac:dyDescent="0.2">
      <c r="A151" s="23">
        <f>A150</f>
        <v>1.4699074074074074E-2</v>
      </c>
      <c r="B151" s="23">
        <f>VLOOKUP($A$150,$A$3:$N$148,B150,TRUE)</f>
        <v>1.0551697530864197E-3</v>
      </c>
      <c r="C151" s="23">
        <f t="shared" ref="C151:N151" si="35">VLOOKUP($A$150,$A$3:$N$148,C150,TRUE)</f>
        <v>1.6116898148148149E-3</v>
      </c>
      <c r="D151" s="23">
        <f t="shared" si="35"/>
        <v>2.1566358024691359E-3</v>
      </c>
      <c r="E151" s="23">
        <f t="shared" si="35"/>
        <v>2.7247299382716049E-3</v>
      </c>
      <c r="F151" s="23">
        <f t="shared" si="35"/>
        <v>3.3135609567901229E-3</v>
      </c>
      <c r="G151" s="23">
        <f t="shared" si="35"/>
        <v>4.5076195987654322E-3</v>
      </c>
      <c r="H151" s="23">
        <f t="shared" si="35"/>
        <v>5.6925154320987652E-3</v>
      </c>
      <c r="I151" s="23">
        <f t="shared" si="35"/>
        <v>3.0324074074074073E-3</v>
      </c>
      <c r="J151" s="23">
        <f t="shared" si="35"/>
        <v>3.1481481481481482E-3</v>
      </c>
      <c r="K151" s="23">
        <f t="shared" si="35"/>
        <v>3.2523148148148147E-3</v>
      </c>
      <c r="L151" s="23">
        <f t="shared" si="35"/>
        <v>3.7268518518518519E-3</v>
      </c>
      <c r="M151" s="23">
        <f t="shared" si="35"/>
        <v>3.3584104938271606E-3</v>
      </c>
      <c r="N151" s="23">
        <f t="shared" si="35"/>
        <v>3.2040895061728391E-3</v>
      </c>
    </row>
    <row r="152" spans="1:16" x14ac:dyDescent="0.2">
      <c r="I152" s="2"/>
      <c r="J152" s="2"/>
      <c r="K152" s="2"/>
      <c r="L152" s="2"/>
      <c r="M152" s="2"/>
      <c r="N152" s="2"/>
    </row>
    <row r="153" spans="1:16" x14ac:dyDescent="0.2">
      <c r="B153" s="5"/>
      <c r="C153" s="5"/>
      <c r="D153" s="5"/>
      <c r="E153" s="5"/>
      <c r="F153" s="5"/>
      <c r="G153" s="5"/>
      <c r="H153" s="5"/>
      <c r="I153" s="5"/>
      <c r="J153" s="5"/>
      <c r="K153" s="5"/>
      <c r="L153" s="5"/>
      <c r="M153" s="5"/>
      <c r="N153" s="5"/>
    </row>
  </sheetData>
  <mergeCells count="4">
    <mergeCell ref="A1:A2"/>
    <mergeCell ref="B1:H1"/>
    <mergeCell ref="I1:L1"/>
    <mergeCell ref="M1:N1"/>
  </mergeCells>
  <pageMargins left="0.7" right="0.7" top="0.75" bottom="0.75" header="0.3" footer="0.3"/>
  <pageSetup paperSize="9" orientation="portrait" r:id="rId1"/>
  <ignoredErrors>
    <ignoredError sqref="L4:L148" formula="1"/>
  </ignoredError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enableFormatConditionsCalculation="0"/>
  <dimension ref="A1:D146"/>
  <sheetViews>
    <sheetView topLeftCell="A54" workbookViewId="0">
      <selection activeCell="D158" sqref="D158"/>
    </sheetView>
  </sheetViews>
  <sheetFormatPr baseColWidth="10" defaultRowHeight="15" x14ac:dyDescent="0.2"/>
  <cols>
    <col min="1" max="4" width="15.6640625" style="1" customWidth="1"/>
    <col min="5" max="16384" width="10.83203125" style="1"/>
  </cols>
  <sheetData>
    <row r="1" spans="1:4" x14ac:dyDescent="0.2">
      <c r="A1" s="1" t="s">
        <v>120</v>
      </c>
      <c r="B1" s="1" t="s">
        <v>121</v>
      </c>
      <c r="C1" s="1" t="s">
        <v>170</v>
      </c>
      <c r="D1" s="1" t="s">
        <v>94</v>
      </c>
    </row>
    <row r="2" spans="1:4" x14ac:dyDescent="0.2">
      <c r="A2" s="108">
        <v>1.1111111111111112E-2</v>
      </c>
      <c r="B2" s="108">
        <v>2.3252314814814812E-2</v>
      </c>
      <c r="C2" s="108">
        <v>5.1504629629629629E-2</v>
      </c>
      <c r="D2" s="108">
        <v>0.10812500000000001</v>
      </c>
    </row>
    <row r="3" spans="1:4" x14ac:dyDescent="0.2">
      <c r="A3" s="108">
        <v>1.1226851851851854E-2</v>
      </c>
      <c r="B3" s="108">
        <v>2.3483796296296298E-2</v>
      </c>
      <c r="C3" s="108">
        <v>5.2037037037037041E-2</v>
      </c>
      <c r="D3" s="108">
        <v>0.10924768518518518</v>
      </c>
    </row>
    <row r="4" spans="1:4" x14ac:dyDescent="0.2">
      <c r="A4" s="108">
        <v>1.1342592592592592E-2</v>
      </c>
      <c r="B4" s="108">
        <v>2.372685185185185E-2</v>
      </c>
      <c r="C4" s="108">
        <v>5.2569444444444446E-2</v>
      </c>
      <c r="D4" s="108">
        <v>0.11038194444444445</v>
      </c>
    </row>
    <row r="5" spans="1:4" x14ac:dyDescent="0.2">
      <c r="A5" s="108">
        <v>1.1458333333333334E-2</v>
      </c>
      <c r="B5" s="108">
        <v>2.3969907407407409E-2</v>
      </c>
      <c r="C5" s="108">
        <v>5.3113425925925932E-2</v>
      </c>
      <c r="D5" s="108">
        <v>0.11150462962962963</v>
      </c>
    </row>
    <row r="6" spans="1:4" x14ac:dyDescent="0.2">
      <c r="A6" s="108">
        <v>1.1574074074074075E-2</v>
      </c>
      <c r="B6" s="108">
        <v>2.4212962962962964E-2</v>
      </c>
      <c r="C6" s="108">
        <v>5.3645833333333337E-2</v>
      </c>
      <c r="D6" s="108">
        <v>0.11262731481481481</v>
      </c>
    </row>
    <row r="7" spans="1:4" x14ac:dyDescent="0.2">
      <c r="A7" s="108">
        <v>1.1689814814814814E-2</v>
      </c>
      <c r="B7" s="108">
        <v>2.4456018518518519E-2</v>
      </c>
      <c r="C7" s="108">
        <v>5.4178240740740735E-2</v>
      </c>
      <c r="D7" s="108">
        <v>0.11375</v>
      </c>
    </row>
    <row r="8" spans="1:4" x14ac:dyDescent="0.2">
      <c r="A8" s="108">
        <v>1.1805555555555555E-2</v>
      </c>
      <c r="B8" s="108">
        <v>2.4699074074074078E-2</v>
      </c>
      <c r="C8" s="108">
        <v>5.4722222222222228E-2</v>
      </c>
      <c r="D8" s="108">
        <v>0.11488425925925926</v>
      </c>
    </row>
    <row r="9" spans="1:4" x14ac:dyDescent="0.2">
      <c r="A9" s="108">
        <v>1.1921296296296298E-2</v>
      </c>
      <c r="B9" s="108">
        <v>2.494212962962963E-2</v>
      </c>
      <c r="C9" s="108">
        <v>5.5254629629629626E-2</v>
      </c>
      <c r="D9" s="108">
        <v>0.11600694444444444</v>
      </c>
    </row>
    <row r="10" spans="1:4" x14ac:dyDescent="0.2">
      <c r="A10" s="108">
        <v>1.2037037037037035E-2</v>
      </c>
      <c r="B10" s="108">
        <v>2.5185185185185185E-2</v>
      </c>
      <c r="C10" s="108">
        <v>5.5787037037037031E-2</v>
      </c>
      <c r="D10" s="108">
        <v>0.11712962962962963</v>
      </c>
    </row>
    <row r="11" spans="1:4" x14ac:dyDescent="0.2">
      <c r="A11" s="108">
        <v>1.2152777777777778E-2</v>
      </c>
      <c r="B11" s="108">
        <v>2.5428240740740741E-2</v>
      </c>
      <c r="C11" s="108">
        <v>5.6331018518518516E-2</v>
      </c>
      <c r="D11" s="108">
        <v>0.11826388888888889</v>
      </c>
    </row>
    <row r="12" spans="1:4" x14ac:dyDescent="0.2">
      <c r="A12" s="108">
        <v>1.2268518518518519E-2</v>
      </c>
      <c r="B12" s="108">
        <v>2.56712962962963E-2</v>
      </c>
      <c r="C12" s="108">
        <v>5.6863425925925921E-2</v>
      </c>
      <c r="D12" s="108">
        <v>0.11938657407407406</v>
      </c>
    </row>
    <row r="13" spans="1:4" x14ac:dyDescent="0.2">
      <c r="A13" s="108">
        <v>1.238425925925926E-2</v>
      </c>
      <c r="B13" s="108">
        <v>2.5914351851851855E-2</v>
      </c>
      <c r="C13" s="108">
        <v>5.7407407407407407E-2</v>
      </c>
      <c r="D13" s="108">
        <v>0.12050925925925926</v>
      </c>
    </row>
    <row r="14" spans="1:4" x14ac:dyDescent="0.2">
      <c r="A14" s="108">
        <v>1.2499999999999999E-2</v>
      </c>
      <c r="B14" s="108">
        <v>2.6157407407407407E-2</v>
      </c>
      <c r="C14" s="108">
        <v>5.7939814814814812E-2</v>
      </c>
      <c r="D14" s="108">
        <v>0.12164351851851851</v>
      </c>
    </row>
    <row r="15" spans="1:4" x14ac:dyDescent="0.2">
      <c r="A15" s="108">
        <v>1.2615740740740742E-2</v>
      </c>
      <c r="B15" s="108">
        <v>2.6400462962962962E-2</v>
      </c>
      <c r="C15" s="108">
        <v>5.8472222222222224E-2</v>
      </c>
      <c r="D15" s="108">
        <v>0.12276620370370371</v>
      </c>
    </row>
    <row r="16" spans="1:4" x14ac:dyDescent="0.2">
      <c r="A16" s="108">
        <v>1.2731481481481481E-2</v>
      </c>
      <c r="B16" s="108">
        <v>2.6631944444444444E-2</v>
      </c>
      <c r="C16" s="108">
        <v>5.9016203703703703E-2</v>
      </c>
      <c r="D16" s="108">
        <v>0.12388888888888888</v>
      </c>
    </row>
    <row r="17" spans="1:4" x14ac:dyDescent="0.2">
      <c r="A17" s="108">
        <v>1.2847222222222223E-2</v>
      </c>
      <c r="B17" s="108">
        <v>2.6875E-2</v>
      </c>
      <c r="C17" s="108">
        <v>5.9548611111111115E-2</v>
      </c>
      <c r="D17" s="108">
        <v>0.12502314814814816</v>
      </c>
    </row>
    <row r="18" spans="1:4" x14ac:dyDescent="0.2">
      <c r="A18" s="108">
        <v>1.2962962962962963E-2</v>
      </c>
      <c r="B18" s="108">
        <v>2.7118055555555552E-2</v>
      </c>
      <c r="C18" s="108">
        <v>6.008101851851852E-2</v>
      </c>
      <c r="D18" s="108">
        <v>0.12614583333333332</v>
      </c>
    </row>
    <row r="19" spans="1:4" x14ac:dyDescent="0.2">
      <c r="A19" s="108">
        <v>1.3078703703703703E-2</v>
      </c>
      <c r="B19" s="108">
        <v>2.736111111111111E-2</v>
      </c>
      <c r="C19" s="108">
        <v>6.0625000000000005E-2</v>
      </c>
      <c r="D19" s="108">
        <v>0.12726851851851853</v>
      </c>
    </row>
    <row r="20" spans="1:4" x14ac:dyDescent="0.2">
      <c r="A20" s="108">
        <v>1.3194444444444444E-2</v>
      </c>
      <c r="B20" s="108">
        <v>2.7604166666666666E-2</v>
      </c>
      <c r="C20" s="108">
        <v>6.115740740740741E-2</v>
      </c>
      <c r="D20" s="108">
        <v>0.12840277777777778</v>
      </c>
    </row>
    <row r="21" spans="1:4" x14ac:dyDescent="0.2">
      <c r="A21" s="108">
        <v>1.3310185185185187E-2</v>
      </c>
      <c r="B21" s="108">
        <v>2.7847222222222221E-2</v>
      </c>
      <c r="C21" s="108">
        <v>6.1689814814814815E-2</v>
      </c>
      <c r="D21" s="108">
        <v>0.12952546296296297</v>
      </c>
    </row>
    <row r="22" spans="1:4" x14ac:dyDescent="0.2">
      <c r="A22" s="108">
        <v>1.3425925925925924E-2</v>
      </c>
      <c r="B22" s="108">
        <v>2.809027777777778E-2</v>
      </c>
      <c r="C22" s="108">
        <v>6.2233796296296294E-2</v>
      </c>
      <c r="D22" s="108">
        <v>0.13064814814814815</v>
      </c>
    </row>
    <row r="23" spans="1:4" x14ac:dyDescent="0.2">
      <c r="A23" s="108">
        <v>1.3541666666666667E-2</v>
      </c>
      <c r="B23" s="108">
        <v>2.8333333333333332E-2</v>
      </c>
      <c r="C23" s="108">
        <v>6.2766203703703713E-2</v>
      </c>
      <c r="D23" s="108">
        <v>0.13177083333333334</v>
      </c>
    </row>
    <row r="24" spans="1:4" x14ac:dyDescent="0.2">
      <c r="A24" s="108">
        <v>1.3657407407407408E-2</v>
      </c>
      <c r="B24" s="108">
        <v>2.8576388888888887E-2</v>
      </c>
      <c r="C24" s="108">
        <v>6.3298611111111111E-2</v>
      </c>
      <c r="D24" s="108">
        <v>0.13290509259259259</v>
      </c>
    </row>
    <row r="25" spans="1:4" x14ac:dyDescent="0.2">
      <c r="A25" s="108">
        <v>1.3773148148148147E-2</v>
      </c>
      <c r="B25" s="108">
        <v>2.8819444444444443E-2</v>
      </c>
      <c r="C25" s="108">
        <v>6.3842592592592604E-2</v>
      </c>
      <c r="D25" s="108">
        <v>0.13402777777777777</v>
      </c>
    </row>
    <row r="26" spans="1:4" x14ac:dyDescent="0.2">
      <c r="A26" s="108">
        <v>1.3888888888888888E-2</v>
      </c>
      <c r="B26" s="108">
        <v>2.9062500000000002E-2</v>
      </c>
      <c r="C26" s="108">
        <v>6.4375000000000002E-2</v>
      </c>
      <c r="D26" s="108">
        <v>0.13515046296296296</v>
      </c>
    </row>
    <row r="27" spans="1:4" x14ac:dyDescent="0.2">
      <c r="A27" s="108">
        <v>1.4004629629629631E-2</v>
      </c>
      <c r="B27" s="108">
        <v>2.9305555555555557E-2</v>
      </c>
      <c r="C27" s="108">
        <v>6.4907407407407414E-2</v>
      </c>
      <c r="D27" s="108">
        <v>0.13628472222222224</v>
      </c>
    </row>
    <row r="28" spans="1:4" x14ac:dyDescent="0.2">
      <c r="A28" s="108">
        <v>1.4120370370370368E-2</v>
      </c>
      <c r="B28" s="108">
        <v>2.9537037037037039E-2</v>
      </c>
      <c r="C28" s="108">
        <v>6.5451388888888892E-2</v>
      </c>
      <c r="D28" s="108">
        <v>0.13740740740740739</v>
      </c>
    </row>
    <row r="29" spans="1:4" x14ac:dyDescent="0.2">
      <c r="A29" s="108">
        <v>1.4236111111111111E-2</v>
      </c>
      <c r="B29" s="108">
        <v>2.9780092592592594E-2</v>
      </c>
      <c r="C29" s="108">
        <v>6.598379629629629E-2</v>
      </c>
      <c r="D29" s="108">
        <v>0.13853009259259261</v>
      </c>
    </row>
    <row r="30" spans="1:4" x14ac:dyDescent="0.2">
      <c r="A30" s="108">
        <v>1.4351851851851852E-2</v>
      </c>
      <c r="B30" s="108">
        <v>3.0023148148148149E-2</v>
      </c>
      <c r="C30" s="108">
        <v>6.6516203703703702E-2</v>
      </c>
      <c r="D30" s="108">
        <v>0.13966435185185186</v>
      </c>
    </row>
    <row r="31" spans="1:4" x14ac:dyDescent="0.2">
      <c r="A31" s="108">
        <v>1.4467592592592593E-2</v>
      </c>
      <c r="B31" s="108">
        <v>3.0266203703703708E-2</v>
      </c>
      <c r="C31" s="108">
        <v>6.7060185185185181E-2</v>
      </c>
      <c r="D31" s="108">
        <v>0.14078703703703704</v>
      </c>
    </row>
    <row r="32" spans="1:4" x14ac:dyDescent="0.2">
      <c r="A32" s="108">
        <v>1.4583333333333332E-2</v>
      </c>
      <c r="B32" s="108">
        <v>3.050925925925926E-2</v>
      </c>
      <c r="C32" s="108">
        <v>6.7592592592592593E-2</v>
      </c>
      <c r="D32" s="108">
        <v>0.14190972222222223</v>
      </c>
    </row>
    <row r="33" spans="1:4" x14ac:dyDescent="0.2">
      <c r="A33" s="108">
        <v>1.4699074074074074E-2</v>
      </c>
      <c r="B33" s="108">
        <v>3.0752314814814816E-2</v>
      </c>
      <c r="C33" s="108">
        <v>6.8136574074074072E-2</v>
      </c>
      <c r="D33" s="108">
        <v>0.14304398148148148</v>
      </c>
    </row>
    <row r="34" spans="1:4" x14ac:dyDescent="0.2">
      <c r="A34" s="108">
        <v>1.4814814814814814E-2</v>
      </c>
      <c r="B34" s="108">
        <v>3.0995370370370371E-2</v>
      </c>
      <c r="C34" s="108">
        <v>6.8668981481481484E-2</v>
      </c>
      <c r="D34" s="108">
        <v>0.14416666666666667</v>
      </c>
    </row>
    <row r="35" spans="1:4" x14ac:dyDescent="0.2">
      <c r="A35" s="108">
        <v>1.4930555555555556E-2</v>
      </c>
      <c r="B35" s="108">
        <v>3.123842592592593E-2</v>
      </c>
      <c r="C35" s="108">
        <v>6.9201388888888882E-2</v>
      </c>
      <c r="D35" s="108">
        <v>0.14528935185185185</v>
      </c>
    </row>
    <row r="36" spans="1:4" x14ac:dyDescent="0.2">
      <c r="A36" s="108">
        <v>1.5046296296296295E-2</v>
      </c>
      <c r="B36" s="108">
        <v>3.1481481481481485E-2</v>
      </c>
      <c r="C36" s="108">
        <v>6.9745370370370374E-2</v>
      </c>
      <c r="D36" s="108">
        <v>0.1464236111111111</v>
      </c>
    </row>
    <row r="37" spans="1:4" x14ac:dyDescent="0.2">
      <c r="A37" s="108">
        <v>1.5162037037037036E-2</v>
      </c>
      <c r="B37" s="108">
        <v>3.172453703703703E-2</v>
      </c>
      <c r="C37" s="108">
        <v>7.0277777777777786E-2</v>
      </c>
      <c r="D37" s="108">
        <v>0.14754629629629631</v>
      </c>
    </row>
    <row r="38" spans="1:4" x14ac:dyDescent="0.2">
      <c r="A38" s="108">
        <v>1.5277777777777777E-2</v>
      </c>
      <c r="B38" s="108">
        <v>3.1967592592592589E-2</v>
      </c>
      <c r="C38" s="108">
        <v>7.0810185185185184E-2</v>
      </c>
      <c r="D38" s="108">
        <v>0.14866898148148147</v>
      </c>
    </row>
    <row r="39" spans="1:4" x14ac:dyDescent="0.2">
      <c r="A39" s="108">
        <v>1.539351851851852E-2</v>
      </c>
      <c r="B39" s="108">
        <v>3.2210648148148148E-2</v>
      </c>
      <c r="C39" s="108">
        <v>7.1354166666666663E-2</v>
      </c>
      <c r="D39" s="108">
        <v>0.14979166666666668</v>
      </c>
    </row>
    <row r="40" spans="1:4" x14ac:dyDescent="0.2">
      <c r="A40" s="108">
        <v>1.5509259259259257E-2</v>
      </c>
      <c r="B40" s="108">
        <v>3.24537037037037E-2</v>
      </c>
      <c r="C40" s="108">
        <v>7.1886574074074075E-2</v>
      </c>
      <c r="D40" s="108">
        <v>0.15092592592592594</v>
      </c>
    </row>
    <row r="41" spans="1:4" x14ac:dyDescent="0.2">
      <c r="A41" s="108">
        <v>1.5625E-2</v>
      </c>
      <c r="B41" s="108">
        <v>3.2685185185185185E-2</v>
      </c>
      <c r="C41" s="108">
        <v>7.2418981481481473E-2</v>
      </c>
      <c r="D41" s="108">
        <v>0.15204861111111112</v>
      </c>
    </row>
    <row r="42" spans="1:4" x14ac:dyDescent="0.2">
      <c r="A42" s="108">
        <v>1.5740740740740743E-2</v>
      </c>
      <c r="B42" s="108">
        <v>3.2928240740740737E-2</v>
      </c>
      <c r="C42" s="108">
        <v>7.2962962962962966E-2</v>
      </c>
      <c r="D42" s="108">
        <v>0.15317129629629631</v>
      </c>
    </row>
    <row r="43" spans="1:4" x14ac:dyDescent="0.2">
      <c r="A43" s="108">
        <v>1.5856481481481482E-2</v>
      </c>
      <c r="B43" s="108">
        <v>3.3171296296296296E-2</v>
      </c>
      <c r="C43" s="108">
        <v>7.3495370370370364E-2</v>
      </c>
      <c r="D43" s="108">
        <v>0.15430555555555556</v>
      </c>
    </row>
    <row r="44" spans="1:4" x14ac:dyDescent="0.2">
      <c r="A44" s="108">
        <v>1.5972222222222224E-2</v>
      </c>
      <c r="B44" s="108">
        <v>3.3414351851851855E-2</v>
      </c>
      <c r="C44" s="108">
        <v>7.402777777777779E-2</v>
      </c>
      <c r="D44" s="108">
        <v>0.15542824074074074</v>
      </c>
    </row>
    <row r="45" spans="1:4" x14ac:dyDescent="0.2">
      <c r="A45" s="108">
        <v>1.6087962962962964E-2</v>
      </c>
      <c r="B45" s="108">
        <v>3.3657407407407407E-2</v>
      </c>
      <c r="C45" s="108">
        <v>7.4571759259259254E-2</v>
      </c>
      <c r="D45" s="108">
        <v>0.15655092592592593</v>
      </c>
    </row>
    <row r="46" spans="1:4" x14ac:dyDescent="0.2">
      <c r="A46" s="108">
        <v>1.6203703703703703E-2</v>
      </c>
      <c r="B46" s="108">
        <v>3.3900462962962966E-2</v>
      </c>
      <c r="C46" s="108">
        <v>7.5104166666666666E-2</v>
      </c>
      <c r="D46" s="108">
        <v>0.15768518518518518</v>
      </c>
    </row>
    <row r="47" spans="1:4" x14ac:dyDescent="0.2">
      <c r="A47" s="108">
        <v>1.6319444444444445E-2</v>
      </c>
      <c r="B47" s="108">
        <v>3.4143518518518517E-2</v>
      </c>
      <c r="C47" s="108">
        <v>7.5636574074074078E-2</v>
      </c>
      <c r="D47" s="108">
        <v>0.15880787037037036</v>
      </c>
    </row>
    <row r="48" spans="1:4" x14ac:dyDescent="0.2">
      <c r="A48" s="108">
        <v>1.6435185185185188E-2</v>
      </c>
      <c r="B48" s="108">
        <v>3.4386574074074076E-2</v>
      </c>
      <c r="C48" s="108">
        <v>7.6180555555555557E-2</v>
      </c>
      <c r="D48" s="108">
        <v>0.15993055555555555</v>
      </c>
    </row>
    <row r="49" spans="1:4" x14ac:dyDescent="0.2">
      <c r="A49" s="108">
        <v>1.6550925925925924E-2</v>
      </c>
      <c r="B49" s="108">
        <v>3.4629629629629628E-2</v>
      </c>
      <c r="C49" s="108">
        <v>7.6712962962962969E-2</v>
      </c>
      <c r="D49" s="108">
        <v>0.1610648148148148</v>
      </c>
    </row>
    <row r="50" spans="1:4" x14ac:dyDescent="0.2">
      <c r="A50" s="108">
        <v>1.6666666666666666E-2</v>
      </c>
      <c r="B50" s="108">
        <v>3.4872685185185187E-2</v>
      </c>
      <c r="C50" s="108">
        <v>7.7245370370370367E-2</v>
      </c>
      <c r="D50" s="108">
        <v>0.16218750000000001</v>
      </c>
    </row>
    <row r="51" spans="1:4" x14ac:dyDescent="0.2">
      <c r="A51" s="108">
        <v>1.6782407407407409E-2</v>
      </c>
      <c r="B51" s="108">
        <v>3.5115740740740746E-2</v>
      </c>
      <c r="C51" s="108">
        <v>7.778935185185186E-2</v>
      </c>
      <c r="D51" s="108">
        <v>0.16331018518518517</v>
      </c>
    </row>
    <row r="52" spans="1:4" x14ac:dyDescent="0.2">
      <c r="A52" s="108">
        <v>1.6898148148148148E-2</v>
      </c>
      <c r="B52" s="108">
        <v>3.5358796296296298E-2</v>
      </c>
      <c r="C52" s="108">
        <v>7.8321759259259258E-2</v>
      </c>
      <c r="D52" s="108">
        <v>0.16444444444444445</v>
      </c>
    </row>
    <row r="53" spans="1:4" x14ac:dyDescent="0.2">
      <c r="A53" s="108">
        <v>1.7013888888888887E-2</v>
      </c>
      <c r="B53" s="108">
        <v>3.560185185185185E-2</v>
      </c>
      <c r="C53" s="108">
        <v>7.886574074074075E-2</v>
      </c>
      <c r="D53" s="108">
        <v>0.16556712962962963</v>
      </c>
    </row>
    <row r="54" spans="1:4" x14ac:dyDescent="0.2">
      <c r="A54" s="108">
        <v>1.712962962962963E-2</v>
      </c>
      <c r="B54" s="108">
        <v>3.5833333333333335E-2</v>
      </c>
      <c r="C54" s="108">
        <v>7.9398148148148148E-2</v>
      </c>
      <c r="D54" s="108">
        <v>0.16668981481481482</v>
      </c>
    </row>
    <row r="55" spans="1:4" x14ac:dyDescent="0.2">
      <c r="A55" s="108">
        <v>1.7245370370370369E-2</v>
      </c>
      <c r="B55" s="108">
        <v>3.6076388888888887E-2</v>
      </c>
      <c r="C55" s="108">
        <v>7.993055555555556E-2</v>
      </c>
      <c r="D55" s="108">
        <v>0.1678125</v>
      </c>
    </row>
    <row r="56" spans="1:4" x14ac:dyDescent="0.2">
      <c r="A56" s="108">
        <v>1.7361111111111112E-2</v>
      </c>
      <c r="B56" s="108">
        <v>3.6319444444444439E-2</v>
      </c>
      <c r="C56" s="108">
        <v>8.0474537037037039E-2</v>
      </c>
      <c r="D56" s="108">
        <v>0.16894675925925925</v>
      </c>
    </row>
    <row r="57" spans="1:4" x14ac:dyDescent="0.2">
      <c r="A57" s="108">
        <v>1.7476851851851851E-2</v>
      </c>
      <c r="B57" s="108">
        <v>3.6562499999999998E-2</v>
      </c>
      <c r="C57" s="108">
        <v>8.1006944444444437E-2</v>
      </c>
      <c r="D57" s="108">
        <v>0.17006944444444447</v>
      </c>
    </row>
    <row r="58" spans="1:4" x14ac:dyDescent="0.2">
      <c r="A58" s="108">
        <v>1.7592592592592594E-2</v>
      </c>
      <c r="B58" s="108">
        <v>3.6805555555555557E-2</v>
      </c>
      <c r="C58" s="108">
        <v>8.1539351851851849E-2</v>
      </c>
      <c r="D58" s="108">
        <v>0.17119212962962962</v>
      </c>
    </row>
    <row r="59" spans="1:4" x14ac:dyDescent="0.2">
      <c r="A59" s="108">
        <v>1.7708333333333333E-2</v>
      </c>
      <c r="B59" s="108">
        <v>3.7048611111111109E-2</v>
      </c>
      <c r="C59" s="108">
        <v>8.2083333333333341E-2</v>
      </c>
      <c r="D59" s="108">
        <v>0.17232638888888888</v>
      </c>
    </row>
    <row r="60" spans="1:4" x14ac:dyDescent="0.2">
      <c r="A60" s="108">
        <v>1.7824074074074076E-2</v>
      </c>
      <c r="B60" s="108">
        <v>3.7291666666666667E-2</v>
      </c>
      <c r="C60" s="108">
        <v>8.261574074074074E-2</v>
      </c>
      <c r="D60" s="108">
        <v>0.17344907407407406</v>
      </c>
    </row>
    <row r="61" spans="1:4" x14ac:dyDescent="0.2">
      <c r="A61" s="108">
        <v>1.7939814814814815E-2</v>
      </c>
      <c r="B61" s="108">
        <v>3.7534722222222219E-2</v>
      </c>
      <c r="C61" s="108">
        <v>8.3148148148148152E-2</v>
      </c>
      <c r="D61" s="108">
        <v>0.17457175925925927</v>
      </c>
    </row>
    <row r="62" spans="1:4" x14ac:dyDescent="0.2">
      <c r="A62" s="108">
        <v>1.8055555555555557E-2</v>
      </c>
      <c r="B62" s="108">
        <v>3.7777777777777778E-2</v>
      </c>
      <c r="C62" s="108">
        <v>8.369212962962963E-2</v>
      </c>
      <c r="D62" s="108">
        <v>0.17570601851851853</v>
      </c>
    </row>
    <row r="63" spans="1:4" x14ac:dyDescent="0.2">
      <c r="A63" s="108">
        <v>1.8171296296296297E-2</v>
      </c>
      <c r="B63" s="108">
        <v>3.802083333333333E-2</v>
      </c>
      <c r="C63" s="108">
        <v>8.4224537037037028E-2</v>
      </c>
      <c r="D63" s="108">
        <v>0.17682870370370371</v>
      </c>
    </row>
    <row r="64" spans="1:4" x14ac:dyDescent="0.2">
      <c r="A64" s="108">
        <v>1.8287037037037036E-2</v>
      </c>
      <c r="B64" s="108">
        <v>3.8263888888888889E-2</v>
      </c>
      <c r="C64" s="108">
        <v>8.475694444444444E-2</v>
      </c>
      <c r="D64" s="108">
        <v>0.17795138888888887</v>
      </c>
    </row>
    <row r="65" spans="1:4" x14ac:dyDescent="0.2">
      <c r="A65" s="108">
        <v>1.8402777777777778E-2</v>
      </c>
      <c r="B65" s="108">
        <v>3.8506944444444448E-2</v>
      </c>
      <c r="C65" s="108">
        <v>8.5300925925925919E-2</v>
      </c>
      <c r="D65" s="108">
        <v>0.17908564814814817</v>
      </c>
    </row>
    <row r="66" spans="1:4" x14ac:dyDescent="0.2">
      <c r="A66" s="108">
        <v>1.8518518518518521E-2</v>
      </c>
      <c r="B66" s="108">
        <v>3.875E-2</v>
      </c>
      <c r="C66" s="108">
        <v>8.5833333333333331E-2</v>
      </c>
      <c r="D66" s="108">
        <v>0.18020833333333333</v>
      </c>
    </row>
    <row r="67" spans="1:4" x14ac:dyDescent="0.2">
      <c r="A67" s="108">
        <v>1.8634259259259257E-2</v>
      </c>
      <c r="B67" s="108">
        <v>3.8981481481481485E-2</v>
      </c>
      <c r="C67" s="108">
        <v>8.6365740740740729E-2</v>
      </c>
      <c r="D67" s="108">
        <v>0.18133101851851852</v>
      </c>
    </row>
    <row r="68" spans="1:4" x14ac:dyDescent="0.2">
      <c r="A68" s="108">
        <v>1.8749999999999999E-2</v>
      </c>
      <c r="B68" s="108">
        <v>3.9224537037037037E-2</v>
      </c>
      <c r="C68" s="108">
        <v>8.6909722222222222E-2</v>
      </c>
      <c r="D68" s="108">
        <v>0.1824537037037037</v>
      </c>
    </row>
    <row r="69" spans="1:4" x14ac:dyDescent="0.2">
      <c r="A69" s="108">
        <v>1.8865740740740742E-2</v>
      </c>
      <c r="B69" s="108">
        <v>3.9467592592592596E-2</v>
      </c>
      <c r="C69" s="108">
        <v>8.744212962962962E-2</v>
      </c>
      <c r="D69" s="108">
        <v>0.18358796296296298</v>
      </c>
    </row>
    <row r="70" spans="1:4" x14ac:dyDescent="0.2">
      <c r="A70" s="108">
        <v>1.8981481481481481E-2</v>
      </c>
      <c r="B70" s="108">
        <v>3.9710648148148148E-2</v>
      </c>
      <c r="C70" s="108">
        <v>8.7986111111111112E-2</v>
      </c>
      <c r="D70" s="108">
        <v>0.18471064814814817</v>
      </c>
    </row>
    <row r="71" spans="1:4" x14ac:dyDescent="0.2">
      <c r="A71" s="108">
        <v>1.909722222222222E-2</v>
      </c>
      <c r="B71" s="108">
        <v>3.9953703703703707E-2</v>
      </c>
      <c r="C71" s="108">
        <v>8.851851851851851E-2</v>
      </c>
      <c r="D71" s="108">
        <v>0.18583333333333332</v>
      </c>
    </row>
    <row r="72" spans="1:4" x14ac:dyDescent="0.2">
      <c r="A72" s="108">
        <v>1.9212962962962963E-2</v>
      </c>
      <c r="B72" s="108">
        <v>4.0196759259259258E-2</v>
      </c>
      <c r="C72" s="108">
        <v>8.9050925925925936E-2</v>
      </c>
      <c r="D72" s="108">
        <v>0.18696759259259257</v>
      </c>
    </row>
    <row r="73" spans="1:4" x14ac:dyDescent="0.2">
      <c r="A73" s="108">
        <v>1.9328703703703702E-2</v>
      </c>
      <c r="B73" s="108">
        <v>4.0439814814814817E-2</v>
      </c>
      <c r="C73" s="108">
        <v>8.9594907407407401E-2</v>
      </c>
      <c r="D73" s="108">
        <v>0.18809027777777776</v>
      </c>
    </row>
    <row r="74" spans="1:4" x14ac:dyDescent="0.2">
      <c r="A74" s="108">
        <v>1.9444444444444445E-2</v>
      </c>
      <c r="B74" s="108">
        <v>4.0682870370370376E-2</v>
      </c>
      <c r="C74" s="108">
        <v>9.0127314814814827E-2</v>
      </c>
      <c r="D74" s="108">
        <v>0.18921296296296297</v>
      </c>
    </row>
    <row r="75" spans="1:4" x14ac:dyDescent="0.2">
      <c r="A75" s="108">
        <v>1.9560185185185184E-2</v>
      </c>
      <c r="B75" s="108">
        <v>4.0925925925925928E-2</v>
      </c>
      <c r="C75" s="108">
        <v>9.0659722222222225E-2</v>
      </c>
      <c r="D75" s="108">
        <v>0.19034722222222222</v>
      </c>
    </row>
    <row r="76" spans="1:4" x14ac:dyDescent="0.2">
      <c r="A76" s="108">
        <v>1.9675925925925927E-2</v>
      </c>
      <c r="B76" s="108">
        <v>4.116898148148148E-2</v>
      </c>
      <c r="C76" s="108">
        <v>9.1203703703703717E-2</v>
      </c>
      <c r="D76" s="108">
        <v>0.19146990740740741</v>
      </c>
    </row>
    <row r="77" spans="1:4" x14ac:dyDescent="0.2">
      <c r="A77" s="108">
        <v>1.9791666666666666E-2</v>
      </c>
      <c r="B77" s="108">
        <v>4.1412037037037039E-2</v>
      </c>
      <c r="C77" s="108">
        <v>9.1736111111111115E-2</v>
      </c>
      <c r="D77" s="108">
        <v>0.19259259259259257</v>
      </c>
    </row>
    <row r="78" spans="1:4" x14ac:dyDescent="0.2">
      <c r="A78" s="108">
        <v>1.9907407407407408E-2</v>
      </c>
      <c r="B78" s="108">
        <v>4.1655092592592598E-2</v>
      </c>
      <c r="C78" s="108">
        <v>9.2268518518518527E-2</v>
      </c>
      <c r="D78" s="108">
        <v>0.19372685185185187</v>
      </c>
    </row>
    <row r="79" spans="1:4" x14ac:dyDescent="0.2">
      <c r="A79" s="108">
        <v>2.0023148148148148E-2</v>
      </c>
      <c r="B79" s="108">
        <v>4.189814814814815E-2</v>
      </c>
      <c r="C79" s="108">
        <v>9.2812500000000006E-2</v>
      </c>
      <c r="D79" s="108">
        <v>0.19484953703703703</v>
      </c>
    </row>
    <row r="80" spans="1:4" x14ac:dyDescent="0.2">
      <c r="A80" s="108">
        <v>2.013888888888889E-2</v>
      </c>
      <c r="B80" s="108">
        <v>4.2129629629629628E-2</v>
      </c>
      <c r="C80" s="108">
        <v>9.3344907407407404E-2</v>
      </c>
      <c r="D80" s="108">
        <v>0.19597222222222221</v>
      </c>
    </row>
    <row r="81" spans="1:4" x14ac:dyDescent="0.2">
      <c r="A81" s="108">
        <v>2.0254629629629629E-2</v>
      </c>
      <c r="B81" s="108">
        <v>4.2372685185185187E-2</v>
      </c>
      <c r="C81" s="108">
        <v>9.3877314814814816E-2</v>
      </c>
      <c r="D81" s="108">
        <v>0.19710648148148149</v>
      </c>
    </row>
    <row r="82" spans="1:4" x14ac:dyDescent="0.2">
      <c r="A82" s="108">
        <v>2.0370370370370369E-2</v>
      </c>
      <c r="B82" s="108">
        <v>4.2615740740740739E-2</v>
      </c>
      <c r="C82" s="108">
        <v>9.4421296296296295E-2</v>
      </c>
      <c r="D82" s="108">
        <v>0.19822916666666668</v>
      </c>
    </row>
    <row r="83" spans="1:4" x14ac:dyDescent="0.2">
      <c r="A83" s="108">
        <v>2.0486111111111111E-2</v>
      </c>
      <c r="B83" s="108">
        <v>4.2858796296296298E-2</v>
      </c>
      <c r="C83" s="108">
        <v>9.4953703703703707E-2</v>
      </c>
      <c r="D83" s="108">
        <v>0.19935185185185186</v>
      </c>
    </row>
    <row r="84" spans="1:4" x14ac:dyDescent="0.2">
      <c r="A84" s="108">
        <v>2.0601851851851854E-2</v>
      </c>
      <c r="B84" s="108">
        <v>4.3101851851851856E-2</v>
      </c>
      <c r="C84" s="108">
        <v>9.5486111111111105E-2</v>
      </c>
      <c r="D84" s="108">
        <v>0.20047453703703702</v>
      </c>
    </row>
    <row r="85" spans="1:4" x14ac:dyDescent="0.2">
      <c r="A85" s="108">
        <v>2.071759259259259E-2</v>
      </c>
      <c r="B85" s="108">
        <v>4.3344907407407408E-2</v>
      </c>
      <c r="C85" s="108">
        <v>9.6030092592592597E-2</v>
      </c>
      <c r="D85" s="108">
        <v>0.20160879629629633</v>
      </c>
    </row>
    <row r="86" spans="1:4" x14ac:dyDescent="0.2">
      <c r="A86" s="108">
        <v>2.0833333333333332E-2</v>
      </c>
      <c r="B86" s="108">
        <v>4.3587962962962967E-2</v>
      </c>
      <c r="C86" s="108">
        <v>9.6562499999999996E-2</v>
      </c>
      <c r="D86" s="108">
        <v>0.20273148148148148</v>
      </c>
    </row>
    <row r="87" spans="1:4" x14ac:dyDescent="0.2">
      <c r="A87" s="108">
        <v>2.0949074074074075E-2</v>
      </c>
      <c r="B87" s="108">
        <v>4.3831018518518512E-2</v>
      </c>
      <c r="C87" s="108">
        <v>9.7094907407407408E-2</v>
      </c>
      <c r="D87" s="108">
        <v>0.20385416666666667</v>
      </c>
    </row>
    <row r="88" spans="1:4" x14ac:dyDescent="0.2">
      <c r="A88" s="108">
        <v>2.1064814814814814E-2</v>
      </c>
      <c r="B88" s="108">
        <v>4.4074074074074071E-2</v>
      </c>
      <c r="C88" s="108">
        <v>9.7638888888888886E-2</v>
      </c>
      <c r="D88" s="108">
        <v>0.20498842592592592</v>
      </c>
    </row>
    <row r="89" spans="1:4" x14ac:dyDescent="0.2">
      <c r="A89" s="108">
        <v>2.1180555555555553E-2</v>
      </c>
      <c r="B89" s="108">
        <v>4.431712962962963E-2</v>
      </c>
      <c r="C89" s="108">
        <v>9.8171296296296298E-2</v>
      </c>
      <c r="D89" s="108">
        <v>0.20611111111111111</v>
      </c>
    </row>
    <row r="90" spans="1:4" x14ac:dyDescent="0.2">
      <c r="A90" s="108">
        <v>2.1296296296296299E-2</v>
      </c>
      <c r="B90" s="108">
        <v>4.4560185185185182E-2</v>
      </c>
      <c r="C90" s="108">
        <v>9.8715277777777777E-2</v>
      </c>
      <c r="D90" s="108">
        <v>0.20723379629629632</v>
      </c>
    </row>
    <row r="91" spans="1:4" x14ac:dyDescent="0.2">
      <c r="A91" s="108">
        <v>2.1412037037037035E-2</v>
      </c>
      <c r="B91" s="108">
        <v>4.4803240740740741E-2</v>
      </c>
      <c r="C91" s="108">
        <v>9.9247685185185189E-2</v>
      </c>
      <c r="D91" s="108">
        <v>0.20836805555555557</v>
      </c>
    </row>
    <row r="92" spans="1:4" x14ac:dyDescent="0.2">
      <c r="A92" s="108">
        <v>2.1527777777777781E-2</v>
      </c>
      <c r="B92" s="108">
        <v>4.50462962962963E-2</v>
      </c>
      <c r="C92" s="108">
        <v>9.9780092592592587E-2</v>
      </c>
      <c r="D92" s="108">
        <v>0.20949074074074073</v>
      </c>
    </row>
    <row r="93" spans="1:4" x14ac:dyDescent="0.2">
      <c r="A93" s="108">
        <v>2.164351851851852E-2</v>
      </c>
      <c r="B93" s="108">
        <v>4.5277777777777778E-2</v>
      </c>
      <c r="C93" s="108">
        <v>0.10032407407407407</v>
      </c>
      <c r="D93" s="108">
        <v>0.21061342592592591</v>
      </c>
    </row>
    <row r="94" spans="1:4" x14ac:dyDescent="0.2">
      <c r="A94" s="108">
        <v>2.1759259259259259E-2</v>
      </c>
      <c r="B94" s="108">
        <v>4.5520833333333337E-2</v>
      </c>
      <c r="C94" s="108">
        <v>0.10085648148148148</v>
      </c>
      <c r="D94" s="108">
        <v>0.21174768518518519</v>
      </c>
    </row>
    <row r="95" spans="1:4" x14ac:dyDescent="0.2">
      <c r="A95" s="108">
        <v>2.1875000000000002E-2</v>
      </c>
      <c r="B95" s="108">
        <v>4.5763888888888889E-2</v>
      </c>
      <c r="C95" s="108">
        <v>0.1013888888888889</v>
      </c>
      <c r="D95" s="108">
        <v>0.21287037037037038</v>
      </c>
    </row>
    <row r="96" spans="1:4" x14ac:dyDescent="0.2">
      <c r="A96" s="108">
        <v>2.1990740740740741E-2</v>
      </c>
      <c r="B96" s="108">
        <v>4.6006944444444448E-2</v>
      </c>
      <c r="C96" s="108">
        <v>0.10193287037037037</v>
      </c>
      <c r="D96" s="108">
        <v>0.21399305555555556</v>
      </c>
    </row>
    <row r="97" spans="1:4" x14ac:dyDescent="0.2">
      <c r="A97" s="108">
        <v>2.210648148148148E-2</v>
      </c>
      <c r="B97" s="108">
        <v>4.6250000000000006E-2</v>
      </c>
      <c r="C97" s="108">
        <v>0.10246527777777777</v>
      </c>
      <c r="D97" s="108">
        <v>0.21512731481481481</v>
      </c>
    </row>
    <row r="98" spans="1:4" x14ac:dyDescent="0.2">
      <c r="A98" s="108">
        <v>2.2222222222222223E-2</v>
      </c>
      <c r="B98" s="108">
        <v>4.6493055555555551E-2</v>
      </c>
      <c r="C98" s="108">
        <v>0.10299768518518519</v>
      </c>
      <c r="D98" s="108">
        <v>0.21625000000000003</v>
      </c>
    </row>
    <row r="99" spans="1:4" x14ac:dyDescent="0.2">
      <c r="A99" s="108">
        <v>2.2337962962962962E-2</v>
      </c>
      <c r="B99" s="108">
        <v>4.673611111111111E-2</v>
      </c>
      <c r="C99" s="108">
        <v>0.10354166666666666</v>
      </c>
      <c r="D99" s="108">
        <v>0.21737268518518518</v>
      </c>
    </row>
    <row r="100" spans="1:4" x14ac:dyDescent="0.2">
      <c r="A100" s="108">
        <v>2.2453703703703708E-2</v>
      </c>
      <c r="B100" s="108">
        <v>4.6979166666666662E-2</v>
      </c>
      <c r="C100" s="108">
        <v>0.10407407407407408</v>
      </c>
      <c r="D100" s="108">
        <v>0.21849537037037037</v>
      </c>
    </row>
    <row r="101" spans="1:4" x14ac:dyDescent="0.2">
      <c r="A101" s="108">
        <v>2.2569444444444444E-2</v>
      </c>
      <c r="B101" s="108">
        <v>4.7222222222222221E-2</v>
      </c>
      <c r="C101" s="108">
        <v>0.10460648148148148</v>
      </c>
      <c r="D101" s="108">
        <v>0.21962962962962962</v>
      </c>
    </row>
    <row r="102" spans="1:4" x14ac:dyDescent="0.2">
      <c r="A102" s="108">
        <v>2.2685185185185183E-2</v>
      </c>
      <c r="B102" s="108">
        <v>4.746527777777778E-2</v>
      </c>
      <c r="C102" s="108">
        <v>0.10515046296296297</v>
      </c>
      <c r="D102" s="108">
        <v>0.22075231481481483</v>
      </c>
    </row>
    <row r="103" spans="1:4" x14ac:dyDescent="0.2">
      <c r="A103" s="108">
        <v>2.2800925925925929E-2</v>
      </c>
      <c r="B103" s="108">
        <v>4.7708333333333332E-2</v>
      </c>
      <c r="C103" s="108">
        <v>0.10568287037037037</v>
      </c>
      <c r="D103" s="108">
        <v>0.22187500000000002</v>
      </c>
    </row>
    <row r="104" spans="1:4" x14ac:dyDescent="0.2">
      <c r="A104" s="108">
        <v>2.2916666666666669E-2</v>
      </c>
      <c r="B104" s="108">
        <v>4.7951388888888891E-2</v>
      </c>
      <c r="C104" s="108">
        <v>0.10621527777777778</v>
      </c>
      <c r="D104" s="108">
        <v>0.22300925925925927</v>
      </c>
    </row>
    <row r="105" spans="1:4" x14ac:dyDescent="0.2">
      <c r="A105" s="108">
        <v>2.3032407407407404E-2</v>
      </c>
      <c r="B105" s="108">
        <v>4.8182870370370369E-2</v>
      </c>
      <c r="C105" s="108">
        <v>0.10675925925925926</v>
      </c>
      <c r="D105" s="108">
        <v>0.22413194444444443</v>
      </c>
    </row>
    <row r="106" spans="1:4" x14ac:dyDescent="0.2">
      <c r="A106" s="108">
        <v>2.314814814814815E-2</v>
      </c>
      <c r="B106" s="108">
        <v>4.8425925925925928E-2</v>
      </c>
      <c r="C106" s="108">
        <v>0.10729166666666667</v>
      </c>
      <c r="D106" s="108">
        <v>0.22525462962962964</v>
      </c>
    </row>
    <row r="107" spans="1:4" x14ac:dyDescent="0.2">
      <c r="A107" s="108">
        <v>2.326388888888889E-2</v>
      </c>
      <c r="B107" s="108">
        <v>4.8668981481481487E-2</v>
      </c>
      <c r="C107" s="108">
        <v>0.10782407407407407</v>
      </c>
      <c r="D107" s="108">
        <v>0.22638888888888889</v>
      </c>
    </row>
    <row r="108" spans="1:4" x14ac:dyDescent="0.2">
      <c r="A108" s="108">
        <v>2.3379629629629629E-2</v>
      </c>
      <c r="B108" s="108">
        <v>4.8912037037037039E-2</v>
      </c>
      <c r="C108" s="108">
        <v>0.10836805555555555</v>
      </c>
      <c r="D108" s="108">
        <v>0.22751157407407407</v>
      </c>
    </row>
    <row r="109" spans="1:4" x14ac:dyDescent="0.2">
      <c r="A109" s="108">
        <v>2.3495370370370371E-2</v>
      </c>
      <c r="B109" s="108">
        <v>4.9155092592592597E-2</v>
      </c>
      <c r="C109" s="108">
        <v>0.10890046296296296</v>
      </c>
      <c r="D109" s="108">
        <v>0.22863425925925926</v>
      </c>
    </row>
    <row r="110" spans="1:4" x14ac:dyDescent="0.2">
      <c r="A110" s="108">
        <v>2.361111111111111E-2</v>
      </c>
      <c r="B110" s="108">
        <v>4.9398148148148142E-2</v>
      </c>
      <c r="C110" s="108">
        <v>0.10944444444444446</v>
      </c>
      <c r="D110" s="108">
        <v>0.22976851851851854</v>
      </c>
    </row>
    <row r="111" spans="1:4" x14ac:dyDescent="0.2">
      <c r="A111" s="108">
        <v>2.372685185185185E-2</v>
      </c>
      <c r="B111" s="108">
        <v>4.9641203703703701E-2</v>
      </c>
      <c r="C111" s="108">
        <v>0.10997685185185185</v>
      </c>
      <c r="D111" s="108">
        <v>0.23089120370370372</v>
      </c>
    </row>
    <row r="112" spans="1:4" x14ac:dyDescent="0.2">
      <c r="A112" s="108">
        <v>2.3842592592592596E-2</v>
      </c>
      <c r="B112" s="108">
        <v>4.988425925925926E-2</v>
      </c>
      <c r="C112" s="108">
        <v>0.11050925925925925</v>
      </c>
      <c r="D112" s="108">
        <v>0.23201388888888888</v>
      </c>
    </row>
    <row r="113" spans="1:4" x14ac:dyDescent="0.2">
      <c r="A113" s="108">
        <v>2.3958333333333331E-2</v>
      </c>
      <c r="B113" s="108">
        <v>5.0127314814814812E-2</v>
      </c>
      <c r="C113" s="108">
        <v>0.11105324074074074</v>
      </c>
      <c r="D113" s="108">
        <v>0.23314814814814813</v>
      </c>
    </row>
    <row r="114" spans="1:4" x14ac:dyDescent="0.2">
      <c r="A114" s="108">
        <v>2.4074074074074071E-2</v>
      </c>
      <c r="B114" s="108">
        <v>5.0370370370370371E-2</v>
      </c>
      <c r="C114" s="108">
        <v>0.11158564814814814</v>
      </c>
      <c r="D114" s="108">
        <v>0.23427083333333334</v>
      </c>
    </row>
    <row r="115" spans="1:4" x14ac:dyDescent="0.2">
      <c r="A115" s="108">
        <v>2.4189814814814817E-2</v>
      </c>
      <c r="B115" s="108">
        <v>5.061342592592593E-2</v>
      </c>
      <c r="C115" s="108">
        <v>0.11211805555555555</v>
      </c>
      <c r="D115" s="108">
        <v>0.23539351851851853</v>
      </c>
    </row>
    <row r="116" spans="1:4" x14ac:dyDescent="0.2">
      <c r="A116" s="108">
        <v>2.4305555555555556E-2</v>
      </c>
      <c r="B116" s="108">
        <v>5.0856481481481482E-2</v>
      </c>
      <c r="C116" s="108">
        <v>0.11266203703703703</v>
      </c>
      <c r="D116" s="108">
        <v>0.23651620370370371</v>
      </c>
    </row>
    <row r="117" spans="1:4" x14ac:dyDescent="0.2">
      <c r="A117" s="108">
        <v>2.4421296296296292E-2</v>
      </c>
      <c r="B117" s="108">
        <v>5.1099537037037041E-2</v>
      </c>
      <c r="C117" s="108">
        <v>0.11319444444444444</v>
      </c>
      <c r="D117" s="108">
        <v>0.23765046296296297</v>
      </c>
    </row>
    <row r="118" spans="1:4" x14ac:dyDescent="0.2">
      <c r="A118" s="108">
        <v>2.4537037037037038E-2</v>
      </c>
      <c r="B118" s="108">
        <v>5.1331018518518519E-2</v>
      </c>
      <c r="C118" s="108">
        <v>0.11372685185185184</v>
      </c>
      <c r="D118" s="108">
        <v>0.23877314814814818</v>
      </c>
    </row>
    <row r="119" spans="1:4" x14ac:dyDescent="0.2">
      <c r="A119" s="108">
        <v>2.4652777777777777E-2</v>
      </c>
      <c r="B119" s="108">
        <v>5.1574074074074078E-2</v>
      </c>
      <c r="C119" s="108">
        <v>0.11427083333333332</v>
      </c>
      <c r="D119" s="108">
        <v>0.23989583333333334</v>
      </c>
    </row>
    <row r="120" spans="1:4" x14ac:dyDescent="0.2">
      <c r="A120" s="108">
        <v>2.476851851851852E-2</v>
      </c>
      <c r="B120" s="108">
        <v>5.1817129629629623E-2</v>
      </c>
      <c r="C120" s="108">
        <v>0.11480324074074073</v>
      </c>
      <c r="D120" s="108">
        <v>0.24103009259259259</v>
      </c>
    </row>
    <row r="121" spans="1:4" x14ac:dyDescent="0.2">
      <c r="A121" s="108">
        <v>2.4884259259259259E-2</v>
      </c>
      <c r="B121" s="108">
        <v>5.2060185185185182E-2</v>
      </c>
      <c r="C121" s="108">
        <v>0.11533564814814816</v>
      </c>
      <c r="D121" s="108">
        <v>0.24215277777777777</v>
      </c>
    </row>
    <row r="122" spans="1:4" x14ac:dyDescent="0.2">
      <c r="A122" s="108">
        <v>2.4999999999999998E-2</v>
      </c>
      <c r="B122" s="108">
        <v>5.230324074074074E-2</v>
      </c>
      <c r="C122" s="108">
        <v>0.11587962962962962</v>
      </c>
      <c r="D122" s="108">
        <v>0.24327546296296299</v>
      </c>
    </row>
    <row r="123" spans="1:4" x14ac:dyDescent="0.2">
      <c r="A123" s="108">
        <v>2.5115740740740741E-2</v>
      </c>
      <c r="B123" s="108">
        <v>5.2546296296296292E-2</v>
      </c>
      <c r="C123" s="108">
        <v>0.11641203703703702</v>
      </c>
      <c r="D123" s="108">
        <v>0.24440972222222224</v>
      </c>
    </row>
    <row r="124" spans="1:4" x14ac:dyDescent="0.2">
      <c r="A124" s="108">
        <v>2.5231481481481483E-2</v>
      </c>
      <c r="B124" s="108">
        <v>5.2789351851851851E-2</v>
      </c>
      <c r="C124" s="108">
        <v>0.11694444444444445</v>
      </c>
      <c r="D124" s="108">
        <v>0.24553240740740742</v>
      </c>
    </row>
    <row r="125" spans="1:4" x14ac:dyDescent="0.2">
      <c r="A125" s="108">
        <v>2.5347222222222219E-2</v>
      </c>
      <c r="B125" s="108">
        <v>5.303240740740741E-2</v>
      </c>
      <c r="C125" s="108">
        <v>0.11748842592592591</v>
      </c>
      <c r="D125" s="108">
        <v>0.24665509259259258</v>
      </c>
    </row>
    <row r="126" spans="1:4" x14ac:dyDescent="0.2">
      <c r="A126" s="108">
        <v>2.5462962962962962E-2</v>
      </c>
      <c r="B126" s="108">
        <v>5.3275462962962962E-2</v>
      </c>
      <c r="C126" s="108">
        <v>0.11802083333333334</v>
      </c>
      <c r="D126" s="108">
        <v>0.24778935185185183</v>
      </c>
    </row>
    <row r="127" spans="1:4" x14ac:dyDescent="0.2">
      <c r="A127" s="108">
        <v>2.5578703703703704E-2</v>
      </c>
      <c r="B127" s="108">
        <v>5.3518518518518521E-2</v>
      </c>
      <c r="C127" s="108">
        <v>0.11855324074074074</v>
      </c>
      <c r="D127" s="108">
        <v>0.24891203703703701</v>
      </c>
    </row>
    <row r="128" spans="1:4" x14ac:dyDescent="0.2">
      <c r="A128" s="108">
        <v>2.5694444444444447E-2</v>
      </c>
      <c r="B128" s="108">
        <v>5.376157407407408E-2</v>
      </c>
      <c r="C128" s="108">
        <v>0.11909722222222223</v>
      </c>
      <c r="D128" s="108">
        <v>0.25003472222222223</v>
      </c>
    </row>
    <row r="129" spans="1:4" x14ac:dyDescent="0.2">
      <c r="A129" s="108">
        <v>2.5810185185185183E-2</v>
      </c>
      <c r="B129" s="108">
        <v>5.4004629629629632E-2</v>
      </c>
      <c r="C129" s="108">
        <v>0.11962962962962963</v>
      </c>
      <c r="D129" s="108">
        <v>0.25116898148148148</v>
      </c>
    </row>
    <row r="130" spans="1:4" x14ac:dyDescent="0.2">
      <c r="A130" s="108">
        <v>2.5925925925925925E-2</v>
      </c>
      <c r="B130" s="108">
        <v>5.424768518518519E-2</v>
      </c>
      <c r="C130" s="108">
        <v>0.12017361111111112</v>
      </c>
      <c r="D130" s="108">
        <v>0.25229166666666664</v>
      </c>
    </row>
    <row r="131" spans="1:4" x14ac:dyDescent="0.2">
      <c r="A131" s="108">
        <v>2.6041666666666668E-2</v>
      </c>
      <c r="B131" s="108">
        <v>5.4479166666666669E-2</v>
      </c>
      <c r="C131" s="108">
        <v>0.12070601851851852</v>
      </c>
      <c r="D131" s="108">
        <v>0.25341435185185185</v>
      </c>
    </row>
    <row r="132" spans="1:4" x14ac:dyDescent="0.2">
      <c r="A132" s="108">
        <v>2.6157407407407407E-2</v>
      </c>
      <c r="B132" s="108">
        <v>5.4722222222222228E-2</v>
      </c>
      <c r="C132" s="108">
        <v>0.12123842592592593</v>
      </c>
      <c r="D132" s="108">
        <v>0.25453703703703706</v>
      </c>
    </row>
    <row r="133" spans="1:4" x14ac:dyDescent="0.2">
      <c r="A133" s="108">
        <v>2.6273148148148153E-2</v>
      </c>
      <c r="B133" s="108">
        <v>5.4965277777777773E-2</v>
      </c>
      <c r="C133" s="108">
        <v>0.12178240740740741</v>
      </c>
      <c r="D133" s="108">
        <v>0.25567129629629631</v>
      </c>
    </row>
    <row r="134" spans="1:4" x14ac:dyDescent="0.2">
      <c r="A134" s="108">
        <v>2.6388888888888889E-2</v>
      </c>
      <c r="B134" s="108">
        <v>5.5208333333333331E-2</v>
      </c>
      <c r="C134" s="108">
        <v>0.12231481481481482</v>
      </c>
      <c r="D134" s="108">
        <v>0.25679398148148147</v>
      </c>
    </row>
    <row r="135" spans="1:4" x14ac:dyDescent="0.2">
      <c r="A135" s="108">
        <v>2.6504629629629628E-2</v>
      </c>
      <c r="B135" s="108">
        <v>5.545138888888889E-2</v>
      </c>
      <c r="C135" s="108">
        <v>0.12284722222222222</v>
      </c>
      <c r="D135" s="108">
        <v>0.25791666666666668</v>
      </c>
    </row>
    <row r="136" spans="1:4" x14ac:dyDescent="0.2">
      <c r="A136" s="108">
        <v>2.6620370370370374E-2</v>
      </c>
      <c r="B136" s="108">
        <v>5.5694444444444442E-2</v>
      </c>
      <c r="C136" s="108">
        <v>0.12339120370370371</v>
      </c>
      <c r="D136" s="108">
        <v>0.25905092592592593</v>
      </c>
    </row>
    <row r="137" spans="1:4" x14ac:dyDescent="0.2">
      <c r="A137" s="108">
        <v>2.6736111111111113E-2</v>
      </c>
      <c r="B137" s="108">
        <v>5.5937500000000001E-2</v>
      </c>
      <c r="C137" s="108">
        <v>0.12392361111111111</v>
      </c>
      <c r="D137" s="108">
        <v>0.26017361111111109</v>
      </c>
    </row>
    <row r="138" spans="1:4" x14ac:dyDescent="0.2">
      <c r="A138" s="108">
        <v>2.6851851851851849E-2</v>
      </c>
      <c r="B138" s="108">
        <v>5.618055555555556E-2</v>
      </c>
      <c r="C138" s="108">
        <v>0.12445601851851852</v>
      </c>
      <c r="D138" s="108">
        <v>0.2612962962962963</v>
      </c>
    </row>
    <row r="139" spans="1:4" x14ac:dyDescent="0.2">
      <c r="A139" s="108">
        <v>2.6967592592592595E-2</v>
      </c>
      <c r="B139" s="108">
        <v>5.6423611111111112E-2</v>
      </c>
      <c r="C139" s="108">
        <v>0.125</v>
      </c>
      <c r="D139" s="108">
        <v>0.26243055555555556</v>
      </c>
    </row>
    <row r="140" spans="1:4" x14ac:dyDescent="0.2">
      <c r="A140" s="108">
        <v>2.7083333333333334E-2</v>
      </c>
      <c r="B140" s="108">
        <v>5.6666666666666671E-2</v>
      </c>
      <c r="C140" s="108">
        <v>0.12553240740740743</v>
      </c>
      <c r="D140" s="108">
        <v>0.26355324074074077</v>
      </c>
    </row>
    <row r="141" spans="1:4" x14ac:dyDescent="0.2">
      <c r="A141" s="108">
        <v>2.7199074074074073E-2</v>
      </c>
      <c r="B141" s="108">
        <v>5.6909722222222216E-2</v>
      </c>
      <c r="C141" s="108">
        <v>0.12606481481481482</v>
      </c>
      <c r="D141" s="108">
        <v>0.26467592592592593</v>
      </c>
    </row>
    <row r="142" spans="1:4" x14ac:dyDescent="0.2">
      <c r="A142" s="108">
        <v>2.7314814814814816E-2</v>
      </c>
      <c r="B142" s="108">
        <v>5.7152777777777775E-2</v>
      </c>
      <c r="C142" s="108">
        <v>0.12660879629629629</v>
      </c>
      <c r="D142" s="108">
        <v>0.26581018518518518</v>
      </c>
    </row>
    <row r="143" spans="1:4" x14ac:dyDescent="0.2">
      <c r="A143" s="108">
        <v>2.7430555555555555E-2</v>
      </c>
      <c r="B143" s="108">
        <v>5.7395833333333333E-2</v>
      </c>
      <c r="C143" s="108">
        <v>0.12714120370370371</v>
      </c>
      <c r="D143" s="108">
        <v>0.26693287037037033</v>
      </c>
    </row>
    <row r="144" spans="1:4" x14ac:dyDescent="0.2">
      <c r="A144" s="108">
        <v>2.7546296296296294E-2</v>
      </c>
      <c r="B144" s="108">
        <v>5.7627314814814812E-2</v>
      </c>
      <c r="C144" s="108">
        <v>0.12767361111111111</v>
      </c>
      <c r="D144" s="108">
        <v>0.26805555555555555</v>
      </c>
    </row>
    <row r="145" spans="1:4" x14ac:dyDescent="0.2">
      <c r="A145" s="108">
        <v>2.7662037037037041E-2</v>
      </c>
      <c r="B145" s="108">
        <v>5.7870370370370371E-2</v>
      </c>
      <c r="C145" s="108">
        <v>0.12821759259259261</v>
      </c>
      <c r="D145" s="108">
        <v>0.26917824074074076</v>
      </c>
    </row>
    <row r="146" spans="1:4" x14ac:dyDescent="0.2">
      <c r="A146" s="108">
        <v>2.7777777777777776E-2</v>
      </c>
      <c r="B146" s="108">
        <v>5.8113425925925923E-2</v>
      </c>
      <c r="C146" s="108">
        <v>0.12875</v>
      </c>
      <c r="D146" s="108">
        <v>0.27031250000000001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PLANFIRST</vt:lpstr>
      <vt:lpstr>PLANES</vt:lpstr>
      <vt:lpstr>TIEMPOS</vt:lpstr>
      <vt:lpstr>MARCAS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ivan</dc:creator>
  <cp:lastModifiedBy>Microsoft Office User</cp:lastModifiedBy>
  <cp:lastPrinted>2013-02-13T15:24:53Z</cp:lastPrinted>
  <dcterms:created xsi:type="dcterms:W3CDTF">2013-02-09T17:44:24Z</dcterms:created>
  <dcterms:modified xsi:type="dcterms:W3CDTF">2016-09-27T09:46:03Z</dcterms:modified>
</cp:coreProperties>
</file>